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oe nyshnoe\other\учеба\уник\чисельні методи\лр5\"/>
    </mc:Choice>
  </mc:AlternateContent>
  <xr:revisionPtr revIDLastSave="0" documentId="13_ncr:1_{530EE5C2-033F-4679-A3F5-A3507C35B729}" xr6:coauthVersionLast="47" xr6:coauthVersionMax="47" xr10:uidLastSave="{00000000-0000-0000-0000-000000000000}"/>
  <bookViews>
    <workbookView xWindow="-120" yWindow="-120" windowWidth="29040" windowHeight="15840" xr2:uid="{9FAAB192-6E62-45A8-BA7C-5F62835AA959}"/>
  </bookViews>
  <sheets>
    <sheet name="Лист1" sheetId="1" r:id="rId1"/>
    <sheet name="0.95" sheetId="2" r:id="rId2"/>
  </sheets>
  <calcPr calcId="191029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1" i="1" l="1"/>
  <c r="B2" i="2"/>
  <c r="N8" i="1"/>
  <c r="N2" i="1"/>
  <c r="J11" i="1"/>
  <c r="J3" i="1"/>
  <c r="J4" i="1"/>
  <c r="J5" i="1"/>
  <c r="J6" i="1"/>
  <c r="J7" i="1"/>
  <c r="J8" i="1"/>
  <c r="J9" i="1"/>
  <c r="J10" i="1"/>
  <c r="J2" i="1"/>
  <c r="G17" i="1"/>
  <c r="G15" i="1"/>
  <c r="H14" i="1"/>
  <c r="G14" i="1"/>
  <c r="F11" i="1"/>
  <c r="G11" i="1"/>
  <c r="H11" i="1"/>
  <c r="I11" i="1"/>
  <c r="H15" i="1" s="1"/>
  <c r="K11" i="1"/>
  <c r="G18" i="1" s="1"/>
  <c r="K3" i="1"/>
  <c r="K4" i="1"/>
  <c r="K5" i="1"/>
  <c r="K6" i="1"/>
  <c r="K7" i="1"/>
  <c r="K8" i="1"/>
  <c r="K9" i="1"/>
  <c r="K10" i="1"/>
  <c r="K2" i="1"/>
  <c r="I3" i="1"/>
  <c r="I4" i="1"/>
  <c r="I5" i="1"/>
  <c r="I6" i="1"/>
  <c r="I7" i="1"/>
  <c r="I8" i="1"/>
  <c r="I9" i="1"/>
  <c r="I10" i="1"/>
  <c r="I2" i="1"/>
  <c r="H3" i="1"/>
  <c r="H4" i="1"/>
  <c r="H5" i="1"/>
  <c r="H6" i="1"/>
  <c r="H7" i="1"/>
  <c r="H8" i="1"/>
  <c r="H9" i="1"/>
  <c r="H10" i="1"/>
  <c r="H2" i="1"/>
  <c r="G3" i="1"/>
  <c r="G4" i="1"/>
  <c r="G5" i="1"/>
  <c r="G6" i="1"/>
  <c r="G7" i="1"/>
  <c r="G8" i="1"/>
  <c r="G9" i="1"/>
  <c r="G10" i="1"/>
  <c r="G2" i="1"/>
  <c r="AC12" i="1"/>
  <c r="AC3" i="1"/>
  <c r="AC4" i="1"/>
  <c r="AC5" i="1"/>
  <c r="AC6" i="1"/>
  <c r="AC7" i="1"/>
  <c r="AC8" i="1"/>
  <c r="AC9" i="1"/>
  <c r="AC10" i="1"/>
  <c r="AC2" i="1"/>
  <c r="AB10" i="1"/>
  <c r="AB7" i="1"/>
  <c r="AB4" i="1"/>
  <c r="AB9" i="1"/>
  <c r="AB6" i="1"/>
  <c r="AB3" i="1"/>
  <c r="AB8" i="1"/>
  <c r="AB5" i="1"/>
  <c r="AB2" i="1"/>
  <c r="AA10" i="1"/>
  <c r="AA9" i="1"/>
  <c r="AA8" i="1"/>
  <c r="AA7" i="1"/>
  <c r="AA6" i="1"/>
  <c r="AA5" i="1"/>
  <c r="AA4" i="1"/>
  <c r="AA3" i="1"/>
  <c r="AA2" i="1"/>
  <c r="Y10" i="1"/>
  <c r="Y9" i="1"/>
  <c r="Y8" i="1"/>
  <c r="Y7" i="1"/>
  <c r="Y4" i="1"/>
  <c r="Y6" i="1"/>
  <c r="Y3" i="1"/>
  <c r="Y5" i="1"/>
  <c r="Y2" i="1"/>
  <c r="F3" i="1"/>
  <c r="F4" i="1"/>
  <c r="F5" i="1"/>
  <c r="F6" i="1"/>
  <c r="F7" i="1"/>
  <c r="F8" i="1"/>
  <c r="F9" i="1"/>
  <c r="F10" i="1"/>
  <c r="F2" i="1"/>
  <c r="B25" i="1" a="1"/>
  <c r="B25" i="1" s="1"/>
  <c r="B22" i="1" a="1"/>
  <c r="B22" i="1" s="1"/>
  <c r="G22" i="1" l="1" a="1"/>
  <c r="G22" i="1" s="1"/>
  <c r="B26" i="1"/>
  <c r="C23" i="1"/>
  <c r="B23" i="1"/>
  <c r="C22" i="1"/>
  <c r="B14" i="1"/>
  <c r="C11" i="1"/>
  <c r="B17" i="1" s="1"/>
  <c r="B11" i="1"/>
  <c r="B15" i="1" s="1"/>
  <c r="E3" i="1"/>
  <c r="E4" i="1"/>
  <c r="E5" i="1"/>
  <c r="E6" i="1"/>
  <c r="E7" i="1"/>
  <c r="E8" i="1"/>
  <c r="E9" i="1"/>
  <c r="E10" i="1"/>
  <c r="E2" i="1"/>
  <c r="E11" i="1" s="1"/>
  <c r="C15" i="1" s="1"/>
  <c r="D3" i="1"/>
  <c r="D4" i="1"/>
  <c r="D5" i="1"/>
  <c r="D6" i="1"/>
  <c r="D7" i="1"/>
  <c r="D8" i="1"/>
  <c r="D9" i="1"/>
  <c r="D10" i="1"/>
  <c r="D2" i="1"/>
  <c r="D11" i="1" s="1"/>
  <c r="B18" i="1" s="1"/>
  <c r="H22" i="1" l="1"/>
  <c r="G23" i="1"/>
  <c r="H23" i="1"/>
  <c r="G25" i="1" a="1"/>
  <c r="C14" i="1"/>
  <c r="G25" i="1" l="1"/>
  <c r="G26" i="1"/>
  <c r="L2" i="1" l="1"/>
  <c r="L3" i="1"/>
  <c r="L4" i="1"/>
  <c r="L5" i="1"/>
  <c r="L6" i="1"/>
  <c r="L8" i="1"/>
  <c r="L9" i="1"/>
  <c r="L10" i="1"/>
  <c r="G27" i="1"/>
  <c r="L7" i="1"/>
</calcChain>
</file>

<file path=xl/sharedStrings.xml><?xml version="1.0" encoding="utf-8"?>
<sst xmlns="http://schemas.openxmlformats.org/spreadsheetml/2006/main" count="58" uniqueCount="44">
  <si>
    <t>x</t>
  </si>
  <si>
    <t>y</t>
  </si>
  <si>
    <t>№</t>
  </si>
  <si>
    <t>x*y</t>
  </si>
  <si>
    <t>x^2</t>
  </si>
  <si>
    <t>Сума</t>
  </si>
  <si>
    <t>A=</t>
  </si>
  <si>
    <t>B=</t>
  </si>
  <si>
    <t>A^-1=</t>
  </si>
  <si>
    <t>a0=</t>
  </si>
  <si>
    <t>а1=</t>
  </si>
  <si>
    <r>
      <rPr>
        <sz val="11"/>
        <color theme="1"/>
        <rFont val="Symbol"/>
        <family val="1"/>
        <charset val="2"/>
      </rPr>
      <t>j</t>
    </r>
    <r>
      <rPr>
        <sz val="11"/>
        <color theme="1"/>
        <rFont val="Calibri"/>
        <family val="2"/>
        <charset val="204"/>
      </rPr>
      <t>=-0,63682+1,070064*x</t>
    </r>
  </si>
  <si>
    <t>j</t>
  </si>
  <si>
    <t>Функція</t>
  </si>
  <si>
    <t>Х сер</t>
  </si>
  <si>
    <t>Х ар</t>
  </si>
  <si>
    <t>Хгеом</t>
  </si>
  <si>
    <t>Х гар</t>
  </si>
  <si>
    <t>Y сер</t>
  </si>
  <si>
    <t>Y ар</t>
  </si>
  <si>
    <t>Y гар</t>
  </si>
  <si>
    <t>Y геом</t>
  </si>
  <si>
    <t>Y регрес</t>
  </si>
  <si>
    <t>(Yрегрес-Yсер)/Yрегрес</t>
  </si>
  <si>
    <t>min</t>
  </si>
  <si>
    <t>ln(y)</t>
  </si>
  <si>
    <t>ln(x)</t>
  </si>
  <si>
    <t>ln(x)*ln(y)</t>
  </si>
  <si>
    <t>ln(x)^2</t>
  </si>
  <si>
    <t>A5=</t>
  </si>
  <si>
    <t>B5=</t>
  </si>
  <si>
    <t>A5^-1=</t>
  </si>
  <si>
    <t>A0=</t>
  </si>
  <si>
    <t>a1=</t>
  </si>
  <si>
    <t>j5</t>
  </si>
  <si>
    <t>R^2</t>
  </si>
  <si>
    <t>ln(y)^2</t>
  </si>
  <si>
    <t>.=модель гарної якості</t>
  </si>
  <si>
    <t>F</t>
  </si>
  <si>
    <t>0.95</t>
  </si>
  <si>
    <t>.=побудована модель адекватно відображає дані</t>
  </si>
  <si>
    <t>Fкрит=</t>
  </si>
  <si>
    <t>Критерій фішера</t>
  </si>
  <si>
    <t>Коефіціент детермінації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</si>
</sst>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  <charset val="204"/>
    </font>
    <font>
      <sz val="11"/>
      <color theme="1"/>
      <name val="Calibri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1" xfId="0" applyBorder="1"/>
    <xf numFmtId="0" fontId="1" fillId="2" borderId="0" xfId="0" applyFont="1" applyFill="1"/>
    <xf numFmtId="2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Графік</a:t>
            </a:r>
            <a:r>
              <a:rPr lang="ru-RU" baseline="0"/>
              <a:t> функції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Експерементальні дані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Лист1!$B$2:$B$10</c:f>
              <c:numCache>
                <c:formatCode>General</c:formatCode>
                <c:ptCount val="9"/>
                <c:pt idx="0">
                  <c:v>0.3</c:v>
                </c:pt>
                <c:pt idx="1">
                  <c:v>0.7</c:v>
                </c:pt>
                <c:pt idx="2">
                  <c:v>1.5</c:v>
                </c:pt>
                <c:pt idx="3">
                  <c:v>1.9</c:v>
                </c:pt>
                <c:pt idx="4">
                  <c:v>2.2000000000000002</c:v>
                </c:pt>
                <c:pt idx="5">
                  <c:v>2.7</c:v>
                </c:pt>
                <c:pt idx="6">
                  <c:v>3.4</c:v>
                </c:pt>
                <c:pt idx="7">
                  <c:v>3.9</c:v>
                </c:pt>
                <c:pt idx="8">
                  <c:v>4.4000000000000004</c:v>
                </c:pt>
              </c:numCache>
            </c:numRef>
          </c:xVal>
          <c:yVal>
            <c:numRef>
              <c:f>Лист1!$C$2:$C$10</c:f>
              <c:numCache>
                <c:formatCode>General</c:formatCode>
                <c:ptCount val="9"/>
                <c:pt idx="0">
                  <c:v>0.13</c:v>
                </c:pt>
                <c:pt idx="1">
                  <c:v>0.45</c:v>
                </c:pt>
                <c:pt idx="2">
                  <c:v>0.86</c:v>
                </c:pt>
                <c:pt idx="3">
                  <c:v>1.01</c:v>
                </c:pt>
                <c:pt idx="4">
                  <c:v>1.34</c:v>
                </c:pt>
                <c:pt idx="5">
                  <c:v>1.98</c:v>
                </c:pt>
                <c:pt idx="6">
                  <c:v>2.56</c:v>
                </c:pt>
                <c:pt idx="7">
                  <c:v>3.41</c:v>
                </c:pt>
                <c:pt idx="8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AF-45C0-BADA-E7FBC3806500}"/>
            </c:ext>
          </c:extLst>
        </c:ser>
        <c:ser>
          <c:idx val="1"/>
          <c:order val="1"/>
          <c:tx>
            <c:v>F1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Лист1!$B$2:$B$10</c:f>
              <c:numCache>
                <c:formatCode>General</c:formatCode>
                <c:ptCount val="9"/>
                <c:pt idx="0">
                  <c:v>0.3</c:v>
                </c:pt>
                <c:pt idx="1">
                  <c:v>0.7</c:v>
                </c:pt>
                <c:pt idx="2">
                  <c:v>1.5</c:v>
                </c:pt>
                <c:pt idx="3">
                  <c:v>1.9</c:v>
                </c:pt>
                <c:pt idx="4">
                  <c:v>2.2000000000000002</c:v>
                </c:pt>
                <c:pt idx="5">
                  <c:v>2.7</c:v>
                </c:pt>
                <c:pt idx="6">
                  <c:v>3.4</c:v>
                </c:pt>
                <c:pt idx="7">
                  <c:v>3.9</c:v>
                </c:pt>
                <c:pt idx="8">
                  <c:v>4.4000000000000004</c:v>
                </c:pt>
              </c:numCache>
            </c:numRef>
          </c:xVal>
          <c:yVal>
            <c:numRef>
              <c:f>Лист1!$F$2:$F$10</c:f>
              <c:numCache>
                <c:formatCode>General</c:formatCode>
                <c:ptCount val="9"/>
                <c:pt idx="0">
                  <c:v>-0.31579617834394663</c:v>
                </c:pt>
                <c:pt idx="1">
                  <c:v>0.11222929936305948</c:v>
                </c:pt>
                <c:pt idx="2">
                  <c:v>0.96828025477707169</c:v>
                </c:pt>
                <c:pt idx="3">
                  <c:v>1.3963057324840777</c:v>
                </c:pt>
                <c:pt idx="4">
                  <c:v>1.7173248407643324</c:v>
                </c:pt>
                <c:pt idx="5">
                  <c:v>2.2523566878980903</c:v>
                </c:pt>
                <c:pt idx="6">
                  <c:v>3.0014012738853504</c:v>
                </c:pt>
                <c:pt idx="7">
                  <c:v>3.5364331210191082</c:v>
                </c:pt>
                <c:pt idx="8">
                  <c:v>4.0714649681528661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AF-45C0-BADA-E7FBC3806500}"/>
            </c:ext>
          </c:extLst>
        </c:ser>
        <c:ser>
          <c:idx val="2"/>
          <c:order val="2"/>
          <c:tx>
            <c:v>5 функція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Лист1!$B$2:$B$10</c:f>
              <c:numCache>
                <c:formatCode>General</c:formatCode>
                <c:ptCount val="9"/>
                <c:pt idx="0">
                  <c:v>0.3</c:v>
                </c:pt>
                <c:pt idx="1">
                  <c:v>0.7</c:v>
                </c:pt>
                <c:pt idx="2">
                  <c:v>1.5</c:v>
                </c:pt>
                <c:pt idx="3">
                  <c:v>1.9</c:v>
                </c:pt>
                <c:pt idx="4">
                  <c:v>2.2000000000000002</c:v>
                </c:pt>
                <c:pt idx="5">
                  <c:v>2.7</c:v>
                </c:pt>
                <c:pt idx="6">
                  <c:v>3.4</c:v>
                </c:pt>
                <c:pt idx="7">
                  <c:v>3.9</c:v>
                </c:pt>
                <c:pt idx="8">
                  <c:v>4.4000000000000004</c:v>
                </c:pt>
              </c:numCache>
            </c:numRef>
          </c:xVal>
          <c:yVal>
            <c:numRef>
              <c:f>Лист1!$L$2:$L$10</c:f>
              <c:numCache>
                <c:formatCode>General</c:formatCode>
                <c:ptCount val="9"/>
                <c:pt idx="0">
                  <c:v>-0.17231049182356895</c:v>
                </c:pt>
                <c:pt idx="1">
                  <c:v>0.33219791010134425</c:v>
                </c:pt>
                <c:pt idx="2">
                  <c:v>1.341214713951171</c:v>
                </c:pt>
                <c:pt idx="3">
                  <c:v>1.8457231158760841</c:v>
                </c:pt>
                <c:pt idx="4">
                  <c:v>2.2241044173197695</c:v>
                </c:pt>
                <c:pt idx="5">
                  <c:v>2.8547399197259109</c:v>
                </c:pt>
                <c:pt idx="6">
                  <c:v>3.7376296230945085</c:v>
                </c:pt>
                <c:pt idx="7">
                  <c:v>4.3682651255006508</c:v>
                </c:pt>
                <c:pt idx="8">
                  <c:v>4.9989006279067931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AF-45C0-BADA-E7FBC38065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975247"/>
        <c:axId val="1002978127"/>
      </c:scatterChart>
      <c:valAx>
        <c:axId val="100297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78127"/>
        <c:crosses val="autoZero"/>
        <c:crossBetween val="midCat"/>
      </c:valAx>
      <c:valAx>
        <c:axId val="1002978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75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2" Type="http://schemas.openxmlformats.org/officeDocument/2006/relationships/chart" Target="../charts/chart1.xml"/><Relationship Id="rId16" Type="http://schemas.openxmlformats.org/officeDocument/2006/relationships/image" Target="../media/image15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png"/><Relationship Id="rId5" Type="http://schemas.openxmlformats.org/officeDocument/2006/relationships/image" Target="../media/image4.png"/><Relationship Id="rId15" Type="http://schemas.openxmlformats.org/officeDocument/2006/relationships/image" Target="../media/image1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72426</xdr:colOff>
      <xdr:row>21</xdr:row>
      <xdr:rowOff>5930</xdr:rowOff>
    </xdr:from>
    <xdr:to>
      <xdr:col>13</xdr:col>
      <xdr:colOff>523876</xdr:colOff>
      <xdr:row>30</xdr:row>
      <xdr:rowOff>38876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9F74E9EA-EA78-42F7-80FF-587B80662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49226" y="4235030"/>
          <a:ext cx="3899500" cy="1747446"/>
        </a:xfrm>
        <a:prstGeom prst="rect">
          <a:avLst/>
        </a:prstGeom>
      </xdr:spPr>
    </xdr:pic>
    <xdr:clientData/>
  </xdr:twoCellAnchor>
  <xdr:twoCellAnchor>
    <xdr:from>
      <xdr:col>14</xdr:col>
      <xdr:colOff>9524</xdr:colOff>
      <xdr:row>20</xdr:row>
      <xdr:rowOff>180974</xdr:rowOff>
    </xdr:from>
    <xdr:to>
      <xdr:col>21</xdr:col>
      <xdr:colOff>9524</xdr:colOff>
      <xdr:row>33</xdr:row>
      <xdr:rowOff>19049</xdr:rowOff>
    </xdr:to>
    <xdr:graphicFrame macro="">
      <xdr:nvGraphicFramePr>
        <xdr:cNvPr id="5" name="Діаграма 4">
          <a:extLst>
            <a:ext uri="{FF2B5EF4-FFF2-40B4-BE49-F238E27FC236}">
              <a16:creationId xmlns:a16="http://schemas.microsoft.com/office/drawing/2014/main" id="{D146E5FE-9D7D-1490-24A9-725B2E279A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21</xdr:col>
      <xdr:colOff>457199</xdr:colOff>
      <xdr:row>16</xdr:row>
      <xdr:rowOff>180974</xdr:rowOff>
    </xdr:from>
    <xdr:to>
      <xdr:col>27</xdr:col>
      <xdr:colOff>514349</xdr:colOff>
      <xdr:row>31</xdr:row>
      <xdr:rowOff>22409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842A013-0ABC-F298-BF4E-F9746C83A3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4949" t="5338" r="4919" b="2848"/>
        <a:stretch>
          <a:fillRect/>
        </a:stretch>
      </xdr:blipFill>
      <xdr:spPr>
        <a:xfrm>
          <a:off x="13515974" y="3457574"/>
          <a:ext cx="3838575" cy="2698935"/>
        </a:xfrm>
        <a:prstGeom prst="rect">
          <a:avLst/>
        </a:prstGeom>
      </xdr:spPr>
    </xdr:pic>
    <xdr:clientData/>
  </xdr:twoCellAnchor>
  <xdr:twoCellAnchor editAs="oneCell">
    <xdr:from>
      <xdr:col>21</xdr:col>
      <xdr:colOff>133350</xdr:colOff>
      <xdr:row>11</xdr:row>
      <xdr:rowOff>19050</xdr:rowOff>
    </xdr:from>
    <xdr:to>
      <xdr:col>26</xdr:col>
      <xdr:colOff>475811</xdr:colOff>
      <xdr:row>15</xdr:row>
      <xdr:rowOff>114193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7E5894FC-53B1-F672-80FE-0FF0B41D7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335000" y="2114550"/>
          <a:ext cx="3514286" cy="857143"/>
        </a:xfrm>
        <a:prstGeom prst="rect">
          <a:avLst/>
        </a:prstGeom>
      </xdr:spPr>
    </xdr:pic>
    <xdr:clientData/>
  </xdr:twoCellAnchor>
  <xdr:twoCellAnchor editAs="oneCell">
    <xdr:from>
      <xdr:col>9</xdr:col>
      <xdr:colOff>647699</xdr:colOff>
      <xdr:row>12</xdr:row>
      <xdr:rowOff>187765</xdr:rowOff>
    </xdr:from>
    <xdr:to>
      <xdr:col>19</xdr:col>
      <xdr:colOff>41880</xdr:colOff>
      <xdr:row>20</xdr:row>
      <xdr:rowOff>28575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D8944172-4FBA-1CA5-8343-6678E8855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34099" y="2702365"/>
          <a:ext cx="5890231" cy="1364810"/>
        </a:xfrm>
        <a:prstGeom prst="rect">
          <a:avLst/>
        </a:prstGeom>
      </xdr:spPr>
    </xdr:pic>
    <xdr:clientData/>
  </xdr:twoCellAnchor>
  <xdr:twoCellAnchor editAs="oneCell">
    <xdr:from>
      <xdr:col>12</xdr:col>
      <xdr:colOff>961485</xdr:colOff>
      <xdr:row>2</xdr:row>
      <xdr:rowOff>62541</xdr:rowOff>
    </xdr:from>
    <xdr:to>
      <xdr:col>15</xdr:col>
      <xdr:colOff>585957</xdr:colOff>
      <xdr:row>5</xdr:row>
      <xdr:rowOff>179717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17794694-E6AD-C4FB-1AE0-53106A22CF1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14092" r="13686"/>
        <a:stretch>
          <a:fillRect/>
        </a:stretch>
      </xdr:blipFill>
      <xdr:spPr>
        <a:xfrm>
          <a:off x="8338867" y="439947"/>
          <a:ext cx="1808033" cy="683284"/>
        </a:xfrm>
        <a:prstGeom prst="rect">
          <a:avLst/>
        </a:prstGeom>
      </xdr:spPr>
    </xdr:pic>
    <xdr:clientData/>
  </xdr:twoCellAnchor>
  <xdr:twoCellAnchor editAs="oneCell">
    <xdr:from>
      <xdr:col>13</xdr:col>
      <xdr:colOff>53916</xdr:colOff>
      <xdr:row>9</xdr:row>
      <xdr:rowOff>115381</xdr:rowOff>
    </xdr:from>
    <xdr:to>
      <xdr:col>16</xdr:col>
      <xdr:colOff>224646</xdr:colOff>
      <xdr:row>12</xdr:row>
      <xdr:rowOff>32014</xdr:rowOff>
    </xdr:to>
    <xdr:pic>
      <xdr:nvPicPr>
        <xdr:cNvPr id="10" name="Рисунок 9">
          <a:extLst>
            <a:ext uri="{FF2B5EF4-FFF2-40B4-BE49-F238E27FC236}">
              <a16:creationId xmlns:a16="http://schemas.microsoft.com/office/drawing/2014/main" id="{A6C6F674-F5F7-2B1D-2EF7-731BF943FE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l="9014" r="12212"/>
        <a:stretch>
          <a:fillRect/>
        </a:stretch>
      </xdr:blipFill>
      <xdr:spPr>
        <a:xfrm>
          <a:off x="8378766" y="1991806"/>
          <a:ext cx="1999530" cy="554808"/>
        </a:xfrm>
        <a:prstGeom prst="rect">
          <a:avLst/>
        </a:prstGeom>
      </xdr:spPr>
    </xdr:pic>
    <xdr:clientData/>
  </xdr:twoCellAnchor>
  <xdr:oneCellAnchor>
    <xdr:from>
      <xdr:col>13</xdr:col>
      <xdr:colOff>133350</xdr:colOff>
      <xdr:row>16</xdr:row>
      <xdr:rowOff>123825</xdr:rowOff>
    </xdr:from>
    <xdr:ext cx="1019175" cy="62865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B4E59F8-D342-D2BA-C9F7-945C8B578CE6}"/>
            </a:ext>
          </a:extLst>
        </xdr:cNvPr>
        <xdr:cNvSpPr txBox="1"/>
      </xdr:nvSpPr>
      <xdr:spPr>
        <a:xfrm>
          <a:off x="8458200" y="3171825"/>
          <a:ext cx="1019175" cy="6286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noAutofit/>
        </a:bodyPr>
        <a:lstStyle/>
        <a:p>
          <a:endParaRPr lang="en-US" sz="1100"/>
        </a:p>
      </xdr:txBody>
    </xdr:sp>
    <xdr:clientData/>
  </xdr:oneCellAnchor>
  <xdr:twoCellAnchor editAs="oneCell">
    <xdr:from>
      <xdr:col>21</xdr:col>
      <xdr:colOff>457201</xdr:colOff>
      <xdr:row>0</xdr:row>
      <xdr:rowOff>180975</xdr:rowOff>
    </xdr:from>
    <xdr:to>
      <xdr:col>22</xdr:col>
      <xdr:colOff>873270</xdr:colOff>
      <xdr:row>2</xdr:row>
      <xdr:rowOff>19050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34BFB15-7994-E63F-DF16-C1F95AAF3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315951" y="180975"/>
          <a:ext cx="882794" cy="219075"/>
        </a:xfrm>
        <a:prstGeom prst="rect">
          <a:avLst/>
        </a:prstGeom>
      </xdr:spPr>
    </xdr:pic>
    <xdr:clientData/>
  </xdr:twoCellAnchor>
  <xdr:twoCellAnchor editAs="oneCell">
    <xdr:from>
      <xdr:col>21</xdr:col>
      <xdr:colOff>457073</xdr:colOff>
      <xdr:row>1</xdr:row>
      <xdr:rowOff>171420</xdr:rowOff>
    </xdr:from>
    <xdr:to>
      <xdr:col>22</xdr:col>
      <xdr:colOff>857250</xdr:colOff>
      <xdr:row>3</xdr:row>
      <xdr:rowOff>28576</xdr:rowOff>
    </xdr:to>
    <xdr:pic>
      <xdr:nvPicPr>
        <xdr:cNvPr id="11" name="Рисунок 10">
          <a:extLst>
            <a:ext uri="{FF2B5EF4-FFF2-40B4-BE49-F238E27FC236}">
              <a16:creationId xmlns:a16="http://schemas.microsoft.com/office/drawing/2014/main" id="{95B02A9A-DB54-0085-0AFD-7ABCAC725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315823" y="361920"/>
          <a:ext cx="866902" cy="238156"/>
        </a:xfrm>
        <a:prstGeom prst="rect">
          <a:avLst/>
        </a:prstGeom>
      </xdr:spPr>
    </xdr:pic>
    <xdr:clientData/>
  </xdr:twoCellAnchor>
  <xdr:twoCellAnchor editAs="oneCell">
    <xdr:from>
      <xdr:col>22</xdr:col>
      <xdr:colOff>19049</xdr:colOff>
      <xdr:row>2</xdr:row>
      <xdr:rowOff>180975</xdr:rowOff>
    </xdr:from>
    <xdr:to>
      <xdr:col>22</xdr:col>
      <xdr:colOff>827038</xdr:colOff>
      <xdr:row>4</xdr:row>
      <xdr:rowOff>19050</xdr:rowOff>
    </xdr:to>
    <xdr:pic>
      <xdr:nvPicPr>
        <xdr:cNvPr id="12" name="Рисунок 11">
          <a:extLst>
            <a:ext uri="{FF2B5EF4-FFF2-40B4-BE49-F238E27FC236}">
              <a16:creationId xmlns:a16="http://schemas.microsoft.com/office/drawing/2014/main" id="{D8236731-5C3B-9FDC-E427-3CE3A541B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344524" y="561975"/>
          <a:ext cx="807989" cy="219075"/>
        </a:xfrm>
        <a:prstGeom prst="rect">
          <a:avLst/>
        </a:prstGeom>
      </xdr:spPr>
    </xdr:pic>
    <xdr:clientData/>
  </xdr:twoCellAnchor>
  <xdr:twoCellAnchor editAs="oneCell">
    <xdr:from>
      <xdr:col>22</xdr:col>
      <xdr:colOff>28575</xdr:colOff>
      <xdr:row>4</xdr:row>
      <xdr:rowOff>28576</xdr:rowOff>
    </xdr:from>
    <xdr:to>
      <xdr:col>22</xdr:col>
      <xdr:colOff>851995</xdr:colOff>
      <xdr:row>5</xdr:row>
      <xdr:rowOff>19050</xdr:rowOff>
    </xdr:to>
    <xdr:pic>
      <xdr:nvPicPr>
        <xdr:cNvPr id="13" name="Рисунок 12">
          <a:extLst>
            <a:ext uri="{FF2B5EF4-FFF2-40B4-BE49-F238E27FC236}">
              <a16:creationId xmlns:a16="http://schemas.microsoft.com/office/drawing/2014/main" id="{A683630F-F2FC-AA4A-05E0-5714FCE5C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354050" y="790576"/>
          <a:ext cx="823420" cy="180974"/>
        </a:xfrm>
        <a:prstGeom prst="rect">
          <a:avLst/>
        </a:prstGeom>
      </xdr:spPr>
    </xdr:pic>
    <xdr:clientData/>
  </xdr:twoCellAnchor>
  <xdr:twoCellAnchor editAs="oneCell">
    <xdr:from>
      <xdr:col>21</xdr:col>
      <xdr:colOff>438150</xdr:colOff>
      <xdr:row>5</xdr:row>
      <xdr:rowOff>0</xdr:rowOff>
    </xdr:from>
    <xdr:to>
      <xdr:col>23</xdr:col>
      <xdr:colOff>86971</xdr:colOff>
      <xdr:row>5</xdr:row>
      <xdr:rowOff>180975</xdr:rowOff>
    </xdr:to>
    <xdr:pic>
      <xdr:nvPicPr>
        <xdr:cNvPr id="14" name="Рисунок 13">
          <a:extLst>
            <a:ext uri="{FF2B5EF4-FFF2-40B4-BE49-F238E27FC236}">
              <a16:creationId xmlns:a16="http://schemas.microsoft.com/office/drawing/2014/main" id="{2CB73732-795F-3AD8-C517-E79493350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296900" y="952500"/>
          <a:ext cx="991846" cy="180975"/>
        </a:xfrm>
        <a:prstGeom prst="rect">
          <a:avLst/>
        </a:prstGeom>
      </xdr:spPr>
    </xdr:pic>
    <xdr:clientData/>
  </xdr:twoCellAnchor>
  <xdr:twoCellAnchor editAs="oneCell">
    <xdr:from>
      <xdr:col>21</xdr:col>
      <xdr:colOff>457200</xdr:colOff>
      <xdr:row>6</xdr:row>
      <xdr:rowOff>9525</xdr:rowOff>
    </xdr:from>
    <xdr:to>
      <xdr:col>23</xdr:col>
      <xdr:colOff>89277</xdr:colOff>
      <xdr:row>7</xdr:row>
      <xdr:rowOff>35340</xdr:rowOff>
    </xdr:to>
    <xdr:pic>
      <xdr:nvPicPr>
        <xdr:cNvPr id="15" name="Рисунок 14">
          <a:extLst>
            <a:ext uri="{FF2B5EF4-FFF2-40B4-BE49-F238E27FC236}">
              <a16:creationId xmlns:a16="http://schemas.microsoft.com/office/drawing/2014/main" id="{7BA4E52C-7324-7932-0EF5-14A93CE41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315950" y="1152525"/>
          <a:ext cx="975102" cy="21631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7</xdr:row>
      <xdr:rowOff>57151</xdr:rowOff>
    </xdr:from>
    <xdr:to>
      <xdr:col>22</xdr:col>
      <xdr:colOff>855923</xdr:colOff>
      <xdr:row>8</xdr:row>
      <xdr:rowOff>28575</xdr:rowOff>
    </xdr:to>
    <xdr:pic>
      <xdr:nvPicPr>
        <xdr:cNvPr id="16" name="Рисунок 15">
          <a:extLst>
            <a:ext uri="{FF2B5EF4-FFF2-40B4-BE49-F238E27FC236}">
              <a16:creationId xmlns:a16="http://schemas.microsoft.com/office/drawing/2014/main" id="{64EEE3DC-AE62-BE33-ED65-F29ADB040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325475" y="1390651"/>
          <a:ext cx="855923" cy="266699"/>
        </a:xfrm>
        <a:prstGeom prst="rect">
          <a:avLst/>
        </a:prstGeom>
      </xdr:spPr>
    </xdr:pic>
    <xdr:clientData/>
  </xdr:twoCellAnchor>
  <xdr:twoCellAnchor editAs="oneCell">
    <xdr:from>
      <xdr:col>22</xdr:col>
      <xdr:colOff>19049</xdr:colOff>
      <xdr:row>8</xdr:row>
      <xdr:rowOff>9525</xdr:rowOff>
    </xdr:from>
    <xdr:to>
      <xdr:col>23</xdr:col>
      <xdr:colOff>19200</xdr:colOff>
      <xdr:row>9</xdr:row>
      <xdr:rowOff>38100</xdr:rowOff>
    </xdr:to>
    <xdr:pic>
      <xdr:nvPicPr>
        <xdr:cNvPr id="17" name="Рисунок 16">
          <a:extLst>
            <a:ext uri="{FF2B5EF4-FFF2-40B4-BE49-F238E27FC236}">
              <a16:creationId xmlns:a16="http://schemas.microsoft.com/office/drawing/2014/main" id="{3A42618C-7C60-7F28-50B2-2C8D0DF41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3344524" y="1638300"/>
          <a:ext cx="876451" cy="276225"/>
        </a:xfrm>
        <a:prstGeom prst="rect">
          <a:avLst/>
        </a:prstGeom>
      </xdr:spPr>
    </xdr:pic>
    <xdr:clientData/>
  </xdr:twoCellAnchor>
  <xdr:twoCellAnchor editAs="oneCell">
    <xdr:from>
      <xdr:col>22</xdr:col>
      <xdr:colOff>19049</xdr:colOff>
      <xdr:row>9</xdr:row>
      <xdr:rowOff>19050</xdr:rowOff>
    </xdr:from>
    <xdr:to>
      <xdr:col>22</xdr:col>
      <xdr:colOff>820800</xdr:colOff>
      <xdr:row>10</xdr:row>
      <xdr:rowOff>7908</xdr:rowOff>
    </xdr:to>
    <xdr:pic>
      <xdr:nvPicPr>
        <xdr:cNvPr id="18" name="Рисунок 17">
          <a:extLst>
            <a:ext uri="{FF2B5EF4-FFF2-40B4-BE49-F238E27FC236}">
              <a16:creationId xmlns:a16="http://schemas.microsoft.com/office/drawing/2014/main" id="{54A60718-0123-81D2-BF71-4E4A00273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3344524" y="1895475"/>
          <a:ext cx="801751" cy="2460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CFB0F-D82D-49F9-81D8-A8ADD5BE5D66}">
  <dimension ref="A1:AC28"/>
  <sheetViews>
    <sheetView tabSelected="1" zoomScale="90" zoomScaleNormal="90" workbookViewId="0">
      <selection activeCell="I35" sqref="I35"/>
    </sheetView>
  </sheetViews>
  <sheetFormatPr defaultRowHeight="15"/>
  <cols>
    <col min="10" max="10" width="9.85546875" customWidth="1"/>
    <col min="13" max="13" width="14.42578125" bestFit="1" customWidth="1"/>
    <col min="21" max="21" width="4" customWidth="1"/>
    <col min="22" max="22" width="7" customWidth="1"/>
    <col min="23" max="23" width="13.140625" customWidth="1"/>
  </cols>
  <sheetData>
    <row r="1" spans="1:29">
      <c r="A1" s="7" t="s">
        <v>2</v>
      </c>
      <c r="B1" s="7" t="s">
        <v>0</v>
      </c>
      <c r="C1" s="7" t="s">
        <v>1</v>
      </c>
      <c r="D1" s="7" t="s">
        <v>3</v>
      </c>
      <c r="E1" s="7" t="s">
        <v>4</v>
      </c>
      <c r="F1" s="8" t="s">
        <v>12</v>
      </c>
      <c r="G1" s="7" t="s">
        <v>25</v>
      </c>
      <c r="H1" s="7" t="s">
        <v>26</v>
      </c>
      <c r="I1" s="7" t="s">
        <v>28</v>
      </c>
      <c r="J1" s="7" t="s">
        <v>36</v>
      </c>
      <c r="K1" s="7" t="s">
        <v>27</v>
      </c>
      <c r="L1" s="8" t="s">
        <v>34</v>
      </c>
      <c r="N1" s="1" t="s">
        <v>35</v>
      </c>
      <c r="O1" t="s">
        <v>43</v>
      </c>
      <c r="V1" s="1" t="s">
        <v>2</v>
      </c>
      <c r="W1" s="1" t="s">
        <v>13</v>
      </c>
      <c r="X1" s="10" t="s">
        <v>14</v>
      </c>
      <c r="Y1" s="10"/>
      <c r="Z1" s="10" t="s">
        <v>18</v>
      </c>
      <c r="AA1" s="10"/>
      <c r="AB1" t="s">
        <v>22</v>
      </c>
      <c r="AC1" t="s">
        <v>23</v>
      </c>
    </row>
    <row r="2" spans="1:29">
      <c r="A2" s="7">
        <v>1</v>
      </c>
      <c r="B2" s="7">
        <v>0.3</v>
      </c>
      <c r="C2" s="7">
        <v>0.13</v>
      </c>
      <c r="D2" s="7">
        <f>B2*C2</f>
        <v>3.9E-2</v>
      </c>
      <c r="E2" s="7">
        <f>B2*B2</f>
        <v>0.09</v>
      </c>
      <c r="F2" s="9">
        <f>$B$25+$B$26*B2</f>
        <v>-0.31579617834394663</v>
      </c>
      <c r="G2" s="9">
        <f>LN(C2)</f>
        <v>-2.0402208285265546</v>
      </c>
      <c r="H2" s="9">
        <f>LN(B2)</f>
        <v>-1.2039728043259361</v>
      </c>
      <c r="I2" s="9">
        <f>LN(B2)*LN(B2)</f>
        <v>1.4495505135564588</v>
      </c>
      <c r="J2" s="9">
        <f>LN(C2)*LN(C2)</f>
        <v>4.1625010291535807</v>
      </c>
      <c r="K2" s="9">
        <f t="shared" ref="K2:K10" si="0">H2*G2</f>
        <v>2.4563703923653009</v>
      </c>
      <c r="L2" s="7">
        <f t="shared" ref="L2:L10" si="1">$G$25+$G$26*B2</f>
        <v>-0.17231049182356895</v>
      </c>
      <c r="N2" s="1">
        <f>(G26*(A10*K11-H11*G11))/(A10*J11-(G11)^2)</f>
        <v>0.97694440765481982</v>
      </c>
      <c r="O2" t="s">
        <v>37</v>
      </c>
      <c r="V2" s="1">
        <v>1</v>
      </c>
      <c r="W2" s="1"/>
      <c r="X2" s="1" t="s">
        <v>15</v>
      </c>
      <c r="Y2" s="1">
        <f>AVERAGE(B2:B10)</f>
        <v>2.3333333333333335</v>
      </c>
      <c r="Z2" s="1" t="s">
        <v>19</v>
      </c>
      <c r="AA2" s="1">
        <f>AVERAGE(C2:C10)</f>
        <v>1.8600000000000003</v>
      </c>
      <c r="AB2">
        <f>C6+((C7-C6)/(B7-B6))*(Y2-B6)</f>
        <v>1.5106666666666666</v>
      </c>
      <c r="AC2">
        <f>ABS((AB2-AA2)/AB2)</f>
        <v>0.23124448367166839</v>
      </c>
    </row>
    <row r="3" spans="1:29">
      <c r="A3" s="7">
        <v>2</v>
      </c>
      <c r="B3" s="7">
        <v>0.7</v>
      </c>
      <c r="C3" s="7">
        <v>0.45</v>
      </c>
      <c r="D3" s="7">
        <f t="shared" ref="D3:D10" si="2">B3*C3</f>
        <v>0.315</v>
      </c>
      <c r="E3" s="7">
        <f t="shared" ref="E3:E10" si="3">B3*B3</f>
        <v>0.48999999999999994</v>
      </c>
      <c r="F3" s="9">
        <f t="shared" ref="F3:F10" si="4">$B$25+$B$26*B3</f>
        <v>0.11222929936305948</v>
      </c>
      <c r="G3" s="9">
        <f t="shared" ref="G3:G10" si="5">LN(C3)</f>
        <v>-0.79850769621777162</v>
      </c>
      <c r="H3" s="9">
        <f t="shared" ref="H3:H10" si="6">LN(B3)</f>
        <v>-0.35667494393873245</v>
      </c>
      <c r="I3" s="9">
        <f t="shared" ref="I3:I10" si="7">LN(B3)*LN(B3)</f>
        <v>0.12721701563369794</v>
      </c>
      <c r="J3" s="9">
        <f t="shared" ref="J3:J10" si="8">LN(C3)*LN(C3)</f>
        <v>0.63761454091901304</v>
      </c>
      <c r="K3" s="9">
        <f t="shared" si="0"/>
        <v>0.2848076877831201</v>
      </c>
      <c r="L3" s="7">
        <f t="shared" si="1"/>
        <v>0.33219791010134425</v>
      </c>
      <c r="N3" s="1"/>
      <c r="V3" s="1">
        <v>2</v>
      </c>
      <c r="W3" s="1"/>
      <c r="X3" s="1" t="s">
        <v>16</v>
      </c>
      <c r="Y3" s="1">
        <f>GEOMEAN(B2:B10)</f>
        <v>1.8089535791137596</v>
      </c>
      <c r="Z3" s="1" t="s">
        <v>19</v>
      </c>
      <c r="AA3" s="1">
        <f>AVERAGE(C2:C10)</f>
        <v>1.8600000000000003</v>
      </c>
      <c r="AB3">
        <f>C4+((C5-C4)/(B5-B4))*(Y3-C4)</f>
        <v>1.21585759216766</v>
      </c>
      <c r="AC3">
        <f t="shared" ref="AC3:AC10" si="9">ABS((AB3-AA3)/AB3)</f>
        <v>0.52978441881828275</v>
      </c>
    </row>
    <row r="4" spans="1:29">
      <c r="A4" s="7">
        <v>3</v>
      </c>
      <c r="B4" s="7">
        <v>1.5</v>
      </c>
      <c r="C4" s="7">
        <v>0.86</v>
      </c>
      <c r="D4" s="7">
        <f t="shared" si="2"/>
        <v>1.29</v>
      </c>
      <c r="E4" s="7">
        <f t="shared" si="3"/>
        <v>2.25</v>
      </c>
      <c r="F4" s="9">
        <f t="shared" si="4"/>
        <v>0.96828025477707169</v>
      </c>
      <c r="G4" s="9">
        <f t="shared" si="5"/>
        <v>-0.15082288973458366</v>
      </c>
      <c r="H4" s="9">
        <f t="shared" si="6"/>
        <v>0.40546510810816438</v>
      </c>
      <c r="I4" s="9">
        <f t="shared" si="7"/>
        <v>0.16440195389316542</v>
      </c>
      <c r="J4" s="9">
        <f t="shared" si="8"/>
        <v>2.2747544067890382E-2</v>
      </c>
      <c r="K4" s="9">
        <f t="shared" si="0"/>
        <v>-6.1153419291418723E-2</v>
      </c>
      <c r="L4" s="7">
        <f t="shared" si="1"/>
        <v>1.341214713951171</v>
      </c>
      <c r="N4" s="1"/>
      <c r="V4" s="1">
        <v>3</v>
      </c>
      <c r="W4" s="1"/>
      <c r="X4" s="1" t="s">
        <v>17</v>
      </c>
      <c r="Y4" s="1">
        <f>HARMEAN(B2:B10)</f>
        <v>1.1908536605744731</v>
      </c>
      <c r="Z4" s="1" t="s">
        <v>19</v>
      </c>
      <c r="AA4" s="1">
        <f>AVERAGE(C2:C10)</f>
        <v>1.8600000000000003</v>
      </c>
      <c r="AB4">
        <f>C3+((C4-C3)/(B4-B3))*(Y4-B3)</f>
        <v>0.70156250104441753</v>
      </c>
      <c r="AC4">
        <f t="shared" si="9"/>
        <v>1.6512249403738291</v>
      </c>
    </row>
    <row r="5" spans="1:29">
      <c r="A5" s="7">
        <v>4</v>
      </c>
      <c r="B5" s="7">
        <v>1.9</v>
      </c>
      <c r="C5" s="7">
        <v>1.01</v>
      </c>
      <c r="D5" s="7">
        <f t="shared" si="2"/>
        <v>1.9189999999999998</v>
      </c>
      <c r="E5" s="7">
        <f t="shared" si="3"/>
        <v>3.61</v>
      </c>
      <c r="F5" s="9">
        <f t="shared" si="4"/>
        <v>1.3963057324840777</v>
      </c>
      <c r="G5" s="9">
        <f t="shared" si="5"/>
        <v>9.950330853168092E-3</v>
      </c>
      <c r="H5" s="9">
        <f t="shared" si="6"/>
        <v>0.64185388617239469</v>
      </c>
      <c r="I5" s="9">
        <f t="shared" si="7"/>
        <v>0.41197641119460543</v>
      </c>
      <c r="J5" s="9">
        <f t="shared" si="8"/>
        <v>9.9009084087508847E-5</v>
      </c>
      <c r="K5" s="9">
        <f t="shared" si="0"/>
        <v>6.3866585268070198E-3</v>
      </c>
      <c r="L5" s="7">
        <f t="shared" si="1"/>
        <v>1.8457231158760841</v>
      </c>
      <c r="N5" s="1"/>
      <c r="V5" s="1">
        <v>4</v>
      </c>
      <c r="W5" s="1"/>
      <c r="X5" s="1" t="s">
        <v>15</v>
      </c>
      <c r="Y5" s="1">
        <f>AVERAGE(B2:B10)</f>
        <v>2.3333333333333335</v>
      </c>
      <c r="Z5" s="1" t="s">
        <v>21</v>
      </c>
      <c r="AA5" s="1">
        <f>GEOMEAN(C2:C10)</f>
        <v>1.2176524207209627</v>
      </c>
      <c r="AB5">
        <f>C6+((C7-C6)/(B7-B6))*(Y2-B6)</f>
        <v>1.5106666666666666</v>
      </c>
      <c r="AC5">
        <f t="shared" si="9"/>
        <v>0.19396353438594699</v>
      </c>
    </row>
    <row r="6" spans="1:29">
      <c r="A6" s="7">
        <v>5</v>
      </c>
      <c r="B6" s="7">
        <v>2.2000000000000002</v>
      </c>
      <c r="C6" s="7">
        <v>1.34</v>
      </c>
      <c r="D6" s="7">
        <f t="shared" si="2"/>
        <v>2.9480000000000004</v>
      </c>
      <c r="E6" s="7">
        <f t="shared" si="3"/>
        <v>4.8400000000000007</v>
      </c>
      <c r="F6" s="9">
        <f t="shared" si="4"/>
        <v>1.7173248407643324</v>
      </c>
      <c r="G6" s="9">
        <f t="shared" si="5"/>
        <v>0.29266961396282004</v>
      </c>
      <c r="H6" s="9">
        <f t="shared" si="6"/>
        <v>0.78845736036427028</v>
      </c>
      <c r="I6" s="9">
        <f t="shared" si="7"/>
        <v>0.62166500911259281</v>
      </c>
      <c r="J6" s="9">
        <f t="shared" si="8"/>
        <v>8.5655502937146105E-2</v>
      </c>
      <c r="K6" s="9">
        <f t="shared" si="0"/>
        <v>0.23075751128395508</v>
      </c>
      <c r="L6" s="7">
        <f t="shared" si="1"/>
        <v>2.2241044173197695</v>
      </c>
      <c r="N6" s="1"/>
      <c r="V6" s="1">
        <v>5</v>
      </c>
      <c r="W6" s="1"/>
      <c r="X6" s="1" t="s">
        <v>16</v>
      </c>
      <c r="Y6" s="1">
        <f>GEOMEAN(B2:B10)</f>
        <v>1.8089535791137596</v>
      </c>
      <c r="Z6" s="1" t="s">
        <v>21</v>
      </c>
      <c r="AA6" s="1">
        <f>GEOMEAN(C2:C10)</f>
        <v>1.2176524207209627</v>
      </c>
      <c r="AB6">
        <f>C4+((C5-C4)/(B5-B4))*(Y3-C4)</f>
        <v>1.21585759216766</v>
      </c>
      <c r="AC6" s="5">
        <f t="shared" si="9"/>
        <v>1.4761832017702371E-3</v>
      </c>
    </row>
    <row r="7" spans="1:29">
      <c r="A7" s="7">
        <v>6</v>
      </c>
      <c r="B7" s="7">
        <v>2.7</v>
      </c>
      <c r="C7" s="7">
        <v>1.98</v>
      </c>
      <c r="D7" s="7">
        <f t="shared" si="2"/>
        <v>5.3460000000000001</v>
      </c>
      <c r="E7" s="7">
        <f t="shared" si="3"/>
        <v>7.2900000000000009</v>
      </c>
      <c r="F7" s="9">
        <f t="shared" si="4"/>
        <v>2.2523566878980903</v>
      </c>
      <c r="G7" s="9">
        <f t="shared" si="5"/>
        <v>0.68309684470644383</v>
      </c>
      <c r="H7" s="9">
        <f t="shared" si="6"/>
        <v>0.99325177301028345</v>
      </c>
      <c r="I7" s="9">
        <f t="shared" si="7"/>
        <v>0.98654908458807167</v>
      </c>
      <c r="J7" s="9">
        <f t="shared" si="8"/>
        <v>0.46662129924789941</v>
      </c>
      <c r="K7" s="9">
        <f t="shared" si="0"/>
        <v>0.67848715214240563</v>
      </c>
      <c r="L7" s="7">
        <f t="shared" si="1"/>
        <v>2.8547399197259109</v>
      </c>
      <c r="N7" s="1" t="s">
        <v>38</v>
      </c>
      <c r="O7" t="s">
        <v>42</v>
      </c>
      <c r="V7" s="1">
        <v>6</v>
      </c>
      <c r="W7" s="1"/>
      <c r="X7" s="1" t="s">
        <v>17</v>
      </c>
      <c r="Y7" s="1">
        <f>HARMEAN(B2:B10)</f>
        <v>1.1908536605744731</v>
      </c>
      <c r="Z7" s="1" t="s">
        <v>21</v>
      </c>
      <c r="AA7" s="1">
        <f>GEOMEAN(C2:C10)</f>
        <v>1.2176524207209627</v>
      </c>
      <c r="AB7">
        <f>C3+((C4-C3)/(B4-B3))*(Y4-B3)</f>
        <v>0.70156250104441753</v>
      </c>
      <c r="AC7">
        <f t="shared" si="9"/>
        <v>0.73562928307633468</v>
      </c>
    </row>
    <row r="8" spans="1:29" ht="23.25" customHeight="1">
      <c r="A8" s="7">
        <v>7</v>
      </c>
      <c r="B8" s="7">
        <v>3.4</v>
      </c>
      <c r="C8" s="7">
        <v>2.56</v>
      </c>
      <c r="D8" s="7">
        <f t="shared" si="2"/>
        <v>8.7040000000000006</v>
      </c>
      <c r="E8" s="7">
        <f t="shared" si="3"/>
        <v>11.559999999999999</v>
      </c>
      <c r="F8" s="9">
        <f t="shared" si="4"/>
        <v>3.0014012738853504</v>
      </c>
      <c r="G8" s="9">
        <f t="shared" si="5"/>
        <v>0.94000725849147115</v>
      </c>
      <c r="H8" s="9">
        <f t="shared" si="6"/>
        <v>1.2237754316221157</v>
      </c>
      <c r="I8" s="9">
        <f t="shared" si="7"/>
        <v>1.4976263070418956</v>
      </c>
      <c r="J8" s="9">
        <f t="shared" si="8"/>
        <v>0.88361364601665149</v>
      </c>
      <c r="K8" s="9">
        <f t="shared" si="0"/>
        <v>1.1503577884883218</v>
      </c>
      <c r="L8" s="7">
        <f t="shared" si="1"/>
        <v>3.7376296230945085</v>
      </c>
      <c r="N8" s="1">
        <f>(N2/(1-N2))*((A10-1-1)/1)</f>
        <v>296.61397335615914</v>
      </c>
      <c r="O8" t="s">
        <v>40</v>
      </c>
      <c r="V8" s="1">
        <v>7</v>
      </c>
      <c r="W8" s="1"/>
      <c r="X8" s="1" t="s">
        <v>15</v>
      </c>
      <c r="Y8" s="1">
        <f>AVERAGE(B2:B10)</f>
        <v>2.3333333333333335</v>
      </c>
      <c r="Z8" s="1" t="s">
        <v>20</v>
      </c>
      <c r="AA8" s="1">
        <f>HARMEAN(C2:C10)</f>
        <v>0.63368594576344517</v>
      </c>
      <c r="AB8">
        <f>C6+((C7-C6)/(B7-B6))*(Y2-B6)</f>
        <v>1.5106666666666666</v>
      </c>
      <c r="AC8">
        <f t="shared" si="9"/>
        <v>0.58052563166585713</v>
      </c>
    </row>
    <row r="9" spans="1:29" ht="19.5" customHeight="1">
      <c r="A9" s="7">
        <v>8</v>
      </c>
      <c r="B9" s="7">
        <v>3.9</v>
      </c>
      <c r="C9" s="7">
        <v>3.41</v>
      </c>
      <c r="D9" s="7">
        <f t="shared" si="2"/>
        <v>13.298999999999999</v>
      </c>
      <c r="E9" s="7">
        <f t="shared" si="3"/>
        <v>15.209999999999999</v>
      </c>
      <c r="F9" s="9">
        <f t="shared" si="4"/>
        <v>3.5364331210191082</v>
      </c>
      <c r="G9" s="9">
        <f t="shared" si="5"/>
        <v>1.2267122912954254</v>
      </c>
      <c r="H9" s="9">
        <f t="shared" si="6"/>
        <v>1.3609765531356006</v>
      </c>
      <c r="I9" s="9">
        <f t="shared" si="7"/>
        <v>1.8522571781848602</v>
      </c>
      <c r="J9" s="9">
        <f t="shared" si="8"/>
        <v>1.5048230456152725</v>
      </c>
      <c r="K9" s="9">
        <f t="shared" si="0"/>
        <v>1.6695266658963228</v>
      </c>
      <c r="L9" s="7">
        <f t="shared" si="1"/>
        <v>4.3682651255006508</v>
      </c>
      <c r="N9" s="1" t="s">
        <v>41</v>
      </c>
      <c r="O9" s="6">
        <v>5.59</v>
      </c>
      <c r="V9" s="1">
        <v>8</v>
      </c>
      <c r="W9" s="1"/>
      <c r="X9" s="1" t="s">
        <v>16</v>
      </c>
      <c r="Y9" s="1">
        <f>GEOMEAN(B2:B10)</f>
        <v>1.8089535791137596</v>
      </c>
      <c r="Z9" s="1" t="s">
        <v>20</v>
      </c>
      <c r="AA9" s="1">
        <f>HARMEAN(C2:C10)</f>
        <v>0.63368594576344517</v>
      </c>
      <c r="AB9">
        <f>C4+((C5-C4)/(B5-B4))*(Y3-C4)</f>
        <v>1.21585759216766</v>
      </c>
      <c r="AC9">
        <f t="shared" si="9"/>
        <v>0.47881565255212599</v>
      </c>
    </row>
    <row r="10" spans="1:29" ht="20.25" customHeight="1">
      <c r="A10" s="7">
        <v>9</v>
      </c>
      <c r="B10" s="7">
        <v>4.4000000000000004</v>
      </c>
      <c r="C10" s="7">
        <v>5</v>
      </c>
      <c r="D10" s="7">
        <f t="shared" si="2"/>
        <v>22</v>
      </c>
      <c r="E10" s="7">
        <f t="shared" si="3"/>
        <v>19.360000000000003</v>
      </c>
      <c r="F10" s="9">
        <f t="shared" si="4"/>
        <v>4.0714649681528661</v>
      </c>
      <c r="G10" s="9">
        <f t="shared" si="5"/>
        <v>1.6094379124341003</v>
      </c>
      <c r="H10" s="9">
        <f t="shared" si="6"/>
        <v>1.4816045409242156</v>
      </c>
      <c r="I10" s="9">
        <f t="shared" si="7"/>
        <v>2.1951520156872557</v>
      </c>
      <c r="J10" s="9">
        <f t="shared" si="8"/>
        <v>2.5902903939802346</v>
      </c>
      <c r="K10" s="9">
        <f t="shared" si="0"/>
        <v>2.384550519397953</v>
      </c>
      <c r="L10" s="7">
        <f t="shared" si="1"/>
        <v>4.9989006279067931</v>
      </c>
      <c r="N10" s="1"/>
      <c r="V10" s="1">
        <v>9</v>
      </c>
      <c r="W10" s="1"/>
      <c r="X10" s="1" t="s">
        <v>17</v>
      </c>
      <c r="Y10" s="1">
        <f>HARMEAN(B2:B10)</f>
        <v>1.1908536605744731</v>
      </c>
      <c r="Z10" s="1" t="s">
        <v>20</v>
      </c>
      <c r="AA10" s="1">
        <f>HARMEAN(C2:C10)</f>
        <v>0.63368594576344517</v>
      </c>
      <c r="AB10">
        <f>C3+((C4-C3)/(B4-B3))*(Y4-B3)</f>
        <v>0.70156250104441753</v>
      </c>
      <c r="AC10">
        <f t="shared" si="9"/>
        <v>9.6750546358912282E-2</v>
      </c>
    </row>
    <row r="11" spans="1:29">
      <c r="A11" s="7" t="s">
        <v>5</v>
      </c>
      <c r="B11" s="7">
        <f>SUM(B2:B10)</f>
        <v>21</v>
      </c>
      <c r="C11" s="7">
        <f>SUM(C2:C10)</f>
        <v>16.740000000000002</v>
      </c>
      <c r="D11" s="7">
        <f>SUM(D2:D10)</f>
        <v>55.86</v>
      </c>
      <c r="E11" s="7">
        <f>SUM(E2:E10)</f>
        <v>64.7</v>
      </c>
      <c r="F11" s="7">
        <f t="shared" ref="F11:J11" si="10">SUM(F2:F10)</f>
        <v>16.740000000000009</v>
      </c>
      <c r="G11" s="7">
        <f t="shared" si="10"/>
        <v>1.7723228372645188</v>
      </c>
      <c r="H11" s="7">
        <f t="shared" si="10"/>
        <v>5.3347369050723756</v>
      </c>
      <c r="I11" s="7">
        <f t="shared" si="10"/>
        <v>9.306395488892603</v>
      </c>
      <c r="J11" s="7">
        <f t="shared" si="10"/>
        <v>10.353966011021775</v>
      </c>
      <c r="K11" s="7">
        <f>SUM(K2:K10)</f>
        <v>8.8000909565927667</v>
      </c>
      <c r="L11" s="7">
        <f>SUM(L2:L10)</f>
        <v>21.530464961652662</v>
      </c>
      <c r="M11" s="1"/>
    </row>
    <row r="12" spans="1:29">
      <c r="AB12" s="1" t="s">
        <v>24</v>
      </c>
      <c r="AC12">
        <f>MIN(AC2:AC10)</f>
        <v>1.4761832017702371E-3</v>
      </c>
    </row>
    <row r="14" spans="1:29">
      <c r="A14" t="s">
        <v>6</v>
      </c>
      <c r="B14" s="2">
        <f>A10</f>
        <v>9</v>
      </c>
      <c r="C14" s="3">
        <f>B11</f>
        <v>21</v>
      </c>
      <c r="F14" t="s">
        <v>29</v>
      </c>
      <c r="G14" s="2">
        <f>A10</f>
        <v>9</v>
      </c>
      <c r="H14" s="3">
        <f>H11</f>
        <v>5.3347369050723756</v>
      </c>
    </row>
    <row r="15" spans="1:29">
      <c r="B15" s="2">
        <f>B11</f>
        <v>21</v>
      </c>
      <c r="C15" s="3">
        <f>E11</f>
        <v>64.7</v>
      </c>
      <c r="G15" s="2">
        <f>H11</f>
        <v>5.3347369050723756</v>
      </c>
      <c r="H15" s="3">
        <f>I11</f>
        <v>9.306395488892603</v>
      </c>
    </row>
    <row r="17" spans="1:12">
      <c r="A17" t="s">
        <v>7</v>
      </c>
      <c r="B17" s="4">
        <f>C11</f>
        <v>16.740000000000002</v>
      </c>
      <c r="F17" t="s">
        <v>30</v>
      </c>
      <c r="G17" s="4">
        <f>G11</f>
        <v>1.7723228372645188</v>
      </c>
    </row>
    <row r="18" spans="1:12">
      <c r="B18" s="4">
        <f>D11</f>
        <v>55.86</v>
      </c>
      <c r="G18" s="4">
        <f>K11</f>
        <v>8.8000909565927667</v>
      </c>
    </row>
    <row r="21" spans="1:12">
      <c r="L21" s="1"/>
    </row>
    <row r="22" spans="1:12">
      <c r="A22" t="s">
        <v>8</v>
      </c>
      <c r="B22" s="2">
        <f t="array" ref="B22:C23">MINVERSE(B14:C15)</f>
        <v>0.45789101203113947</v>
      </c>
      <c r="C22" s="3">
        <v>-0.14861995753715498</v>
      </c>
      <c r="F22" t="s">
        <v>31</v>
      </c>
      <c r="G22" s="2">
        <f t="array" ref="G22:H23">MINVERSE(G14:H15)</f>
        <v>0.16829490517066426</v>
      </c>
      <c r="H22" s="3">
        <v>-9.6472263898644106E-2</v>
      </c>
      <c r="L22" s="1"/>
    </row>
    <row r="23" spans="1:12">
      <c r="B23" s="2">
        <v>-0.14861995753715501</v>
      </c>
      <c r="C23" s="3">
        <v>6.3694267515923567E-2</v>
      </c>
      <c r="G23" s="2">
        <v>-9.647226389864412E-2</v>
      </c>
      <c r="H23" s="3">
        <v>0.16275411337759638</v>
      </c>
    </row>
    <row r="25" spans="1:12">
      <c r="A25" t="s">
        <v>9</v>
      </c>
      <c r="B25">
        <f t="array" ref="B25:B26">MMULT(B22:C23,B17:B18)</f>
        <v>-0.63681528662420117</v>
      </c>
      <c r="F25" t="s">
        <v>32</v>
      </c>
      <c r="G25">
        <f t="array" ref="G25:G26">MMULT(G22:H23,G17:G18)</f>
        <v>-0.55069179326725393</v>
      </c>
    </row>
    <row r="26" spans="1:12">
      <c r="A26" t="s">
        <v>10</v>
      </c>
      <c r="B26">
        <v>1.0700636942675152</v>
      </c>
      <c r="F26" t="s">
        <v>33</v>
      </c>
      <c r="G26">
        <v>1.2612710048122833</v>
      </c>
    </row>
    <row r="27" spans="1:12">
      <c r="F27" t="s">
        <v>9</v>
      </c>
      <c r="G27">
        <f>EXP(G25)</f>
        <v>0.57655081841201317</v>
      </c>
    </row>
    <row r="28" spans="1:12">
      <c r="A28" s="11" t="s">
        <v>11</v>
      </c>
      <c r="B28" s="11"/>
      <c r="C28" s="11"/>
    </row>
  </sheetData>
  <mergeCells count="3">
    <mergeCell ref="X1:Y1"/>
    <mergeCell ref="Z1:AA1"/>
    <mergeCell ref="A28:C2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0BDFF-0590-4621-81C2-5A480FECD85E}">
  <dimension ref="A1:P16"/>
  <sheetViews>
    <sheetView workbookViewId="0">
      <selection activeCell="B3" sqref="B3"/>
    </sheetView>
  </sheetViews>
  <sheetFormatPr defaultRowHeight="15"/>
  <cols>
    <col min="2" max="2" width="12.140625" bestFit="1" customWidth="1"/>
  </cols>
  <sheetData>
    <row r="1" spans="1:16">
      <c r="A1" s="1" t="s">
        <v>39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</row>
    <row r="2" spans="1:16">
      <c r="A2" s="1">
        <v>1</v>
      </c>
      <c r="B2" s="1" t="e">
        <f>_xlfn.F.INV($A$1,B$1,$A2)</f>
        <v>#VALUE!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>
      <c r="A3" s="1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>
      <c r="A4" s="1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>
      <c r="A5" s="1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>
      <c r="A6" s="1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16">
      <c r="A7" s="1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</row>
    <row r="8" spans="1:16">
      <c r="A8" s="1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</row>
    <row r="9" spans="1:16">
      <c r="A9" s="1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</row>
    <row r="10" spans="1:16">
      <c r="A10" s="1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>
      <c r="A11" s="1">
        <v>10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>
      <c r="A12" s="1">
        <v>11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</row>
    <row r="13" spans="1:16">
      <c r="A13" s="1">
        <v>12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1">
        <v>13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1">
        <v>14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1">
        <v>15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2E1ECD-3D71-4F46-9C72-B3137523BD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Лист1</vt:lpstr>
      <vt:lpstr>0.95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vladslave</dc:creator>
  <cp:lastModifiedBy>Влад Чесной</cp:lastModifiedBy>
  <dcterms:created xsi:type="dcterms:W3CDTF">2025-11-09T16:20:06Z</dcterms:created>
  <dcterms:modified xsi:type="dcterms:W3CDTF">2025-11-17T14:12:52Z</dcterms:modified>
</cp:coreProperties>
</file>