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oe nyshnoe\other\учеба\уник\чисельні методи\лр7\"/>
    </mc:Choice>
  </mc:AlternateContent>
  <xr:revisionPtr revIDLastSave="0" documentId="13_ncr:1_{270013BF-5144-43EE-A56D-46A61EB58EE8}" xr6:coauthVersionLast="47" xr6:coauthVersionMax="47" xr10:uidLastSave="{00000000-0000-0000-0000-000000000000}"/>
  <bookViews>
    <workbookView xWindow="28680" yWindow="930" windowWidth="21840" windowHeight="131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7" i="1"/>
  <c r="F47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E8" i="1"/>
  <c r="C46" i="1"/>
  <c r="C42" i="1"/>
  <c r="C38" i="1"/>
  <c r="C34" i="1"/>
  <c r="C30" i="1"/>
  <c r="C26" i="1"/>
  <c r="C22" i="1"/>
  <c r="C18" i="1"/>
  <c r="C10" i="1"/>
  <c r="C14" i="1" s="1"/>
  <c r="B22" i="1"/>
  <c r="B14" i="1"/>
  <c r="D6" i="1"/>
  <c r="D14" i="1" l="1"/>
  <c r="F6" i="1"/>
  <c r="A7" i="1"/>
  <c r="B30" i="1"/>
  <c r="B38" i="1" s="1"/>
  <c r="B46" i="1" s="1"/>
  <c r="A8" i="1" l="1"/>
  <c r="D22" i="1" l="1"/>
  <c r="A9" i="1"/>
  <c r="A10" i="1" s="1"/>
  <c r="A11" i="1" s="1"/>
  <c r="A12" i="1" s="1"/>
  <c r="A13" i="1" s="1"/>
  <c r="A14" i="1" s="1"/>
  <c r="H8" i="1"/>
  <c r="D30" i="1" l="1"/>
  <c r="H10" i="1"/>
  <c r="F10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F14" i="1"/>
  <c r="H12" i="1"/>
  <c r="D46" i="1" l="1"/>
  <c r="D38" i="1"/>
  <c r="H14" i="1"/>
  <c r="D47" i="1" l="1"/>
  <c r="H16" i="1"/>
  <c r="F18" i="1"/>
  <c r="H18" i="1" l="1"/>
  <c r="F22" i="1" l="1"/>
  <c r="H20" i="1"/>
  <c r="H22" i="1" l="1"/>
  <c r="F26" i="1" l="1"/>
  <c r="H24" i="1"/>
  <c r="H26" i="1" l="1"/>
  <c r="F30" i="1" l="1"/>
  <c r="H28" i="1"/>
  <c r="H30" i="1" l="1"/>
  <c r="H32" i="1" l="1"/>
  <c r="F34" i="1"/>
  <c r="H34" i="1" l="1"/>
  <c r="F38" i="1" l="1"/>
  <c r="H36" i="1"/>
  <c r="H38" i="1" l="1"/>
  <c r="F42" i="1" l="1"/>
  <c r="H40" i="1"/>
  <c r="H42" i="1" l="1"/>
  <c r="F46" i="1" l="1"/>
  <c r="H44" i="1"/>
  <c r="H46" i="1" l="1"/>
  <c r="H47" i="1" s="1"/>
</calcChain>
</file>

<file path=xl/sharedStrings.xml><?xml version="1.0" encoding="utf-8"?>
<sst xmlns="http://schemas.openxmlformats.org/spreadsheetml/2006/main" count="14" uniqueCount="14">
  <si>
    <t>y'</t>
  </si>
  <si>
    <t>x0</t>
  </si>
  <si>
    <t>y0</t>
  </si>
  <si>
    <t>h</t>
  </si>
  <si>
    <t>x</t>
  </si>
  <si>
    <t>yh</t>
  </si>
  <si>
    <t>yh/2</t>
  </si>
  <si>
    <t>|yh - yh/2|</t>
  </si>
  <si>
    <t>yh/4</t>
  </si>
  <si>
    <t>yh/8</t>
  </si>
  <si>
    <t>max</t>
  </si>
  <si>
    <t>y^2*e^x-2y</t>
  </si>
  <si>
    <t>|yh/2 - yh/4|</t>
  </si>
  <si>
    <t>|yh/4 - yh/8|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</si>
</sst>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438150</xdr:colOff>
      <xdr:row>1</xdr:row>
      <xdr:rowOff>95250</xdr:rowOff>
    </xdr:from>
    <xdr:to>
      <xdr:col>24</xdr:col>
      <xdr:colOff>10741</xdr:colOff>
      <xdr:row>10</xdr:row>
      <xdr:rowOff>95489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E8233F-2967-6144-B236-A6847C0A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0" y="285750"/>
          <a:ext cx="8716591" cy="1714739"/>
        </a:xfrm>
        <a:prstGeom prst="rect">
          <a:avLst/>
        </a:prstGeom>
      </xdr:spPr>
    </xdr:pic>
    <xdr:clientData/>
  </xdr:twoCellAnchor>
  <xdr:twoCellAnchor editAs="oneCell">
    <xdr:from>
      <xdr:col>8</xdr:col>
      <xdr:colOff>571499</xdr:colOff>
      <xdr:row>12</xdr:row>
      <xdr:rowOff>91107</xdr:rowOff>
    </xdr:from>
    <xdr:to>
      <xdr:col>12</xdr:col>
      <xdr:colOff>140135</xdr:colOff>
      <xdr:row>13</xdr:row>
      <xdr:rowOff>148226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6BEADA0-6C02-1E89-66FB-C62907D29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6303" y="2377107"/>
          <a:ext cx="2020289" cy="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9" zoomScale="115" zoomScaleNormal="115" workbookViewId="0">
      <selection activeCell="H47" sqref="H47"/>
    </sheetView>
  </sheetViews>
  <sheetFormatPr defaultRowHeight="15" x14ac:dyDescent="0.25"/>
  <cols>
    <col min="2" max="2" width="10" customWidth="1"/>
    <col min="4" max="4" width="10.5703125" customWidth="1"/>
    <col min="6" max="6" width="12.28515625" customWidth="1"/>
    <col min="8" max="8" width="12.42578125" customWidth="1"/>
  </cols>
  <sheetData>
    <row r="1" spans="1:8" x14ac:dyDescent="0.25">
      <c r="A1" t="s">
        <v>0</v>
      </c>
      <c r="B1" t="s">
        <v>11</v>
      </c>
    </row>
    <row r="2" spans="1:8" x14ac:dyDescent="0.25">
      <c r="A2" t="s">
        <v>1</v>
      </c>
      <c r="B2">
        <v>0</v>
      </c>
    </row>
    <row r="3" spans="1:8" x14ac:dyDescent="0.25">
      <c r="A3" t="s">
        <v>2</v>
      </c>
      <c r="B3">
        <v>1</v>
      </c>
    </row>
    <row r="4" spans="1:8" x14ac:dyDescent="0.25">
      <c r="A4" t="s">
        <v>3</v>
      </c>
      <c r="B4">
        <v>0.2</v>
      </c>
      <c r="C4">
        <v>0.1</v>
      </c>
      <c r="E4">
        <v>0.05</v>
      </c>
      <c r="G4">
        <v>2.5000000000000001E-2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12</v>
      </c>
      <c r="G5" t="s">
        <v>9</v>
      </c>
      <c r="H5" t="s">
        <v>13</v>
      </c>
    </row>
    <row r="6" spans="1:8" x14ac:dyDescent="0.25">
      <c r="A6">
        <v>0</v>
      </c>
      <c r="B6">
        <v>1</v>
      </c>
      <c r="C6">
        <v>1</v>
      </c>
      <c r="D6">
        <f>ABS(B6-C6)</f>
        <v>0</v>
      </c>
      <c r="E6">
        <v>1</v>
      </c>
      <c r="F6">
        <f>ABS(C6-E6)</f>
        <v>0</v>
      </c>
      <c r="G6">
        <v>1</v>
      </c>
      <c r="H6">
        <f>ABS(E6-G6)</f>
        <v>0</v>
      </c>
    </row>
    <row r="7" spans="1:8" x14ac:dyDescent="0.25">
      <c r="A7">
        <f>A6+$G$4</f>
        <v>2.5000000000000001E-2</v>
      </c>
      <c r="G7">
        <f>G6+(G6^2*EXP(A6)-2*G6)*$G$4</f>
        <v>0.97499999999999998</v>
      </c>
    </row>
    <row r="8" spans="1:8" x14ac:dyDescent="0.25">
      <c r="A8" s="3">
        <f t="shared" ref="A8:A46" si="0">A7+$G$4</f>
        <v>0.05</v>
      </c>
      <c r="B8" s="3"/>
      <c r="C8" s="3"/>
      <c r="D8" s="3"/>
      <c r="E8" s="3">
        <f>E6+(E6^2*EXP(A6)-2*E6)*$E$4</f>
        <v>0.95</v>
      </c>
      <c r="G8">
        <f t="shared" ref="G8:G46" si="1">G7+(G7^2*EXP(A7)-2*G7)*$G$4</f>
        <v>0.95061725466121338</v>
      </c>
      <c r="H8">
        <f>ABS(E8-G8)</f>
        <v>6.1725466121342887E-4</v>
      </c>
    </row>
    <row r="9" spans="1:8" x14ac:dyDescent="0.25">
      <c r="A9">
        <f t="shared" si="0"/>
        <v>7.5000000000000011E-2</v>
      </c>
      <c r="G9">
        <f t="shared" si="1"/>
        <v>0.92683652889784185</v>
      </c>
    </row>
    <row r="10" spans="1:8" x14ac:dyDescent="0.25">
      <c r="A10" s="2">
        <f t="shared" si="0"/>
        <v>0.1</v>
      </c>
      <c r="B10" s="2"/>
      <c r="C10" s="2">
        <f>C6+(C6^2*EXP(A6)-2*C6)*$C$4</f>
        <v>0.9</v>
      </c>
      <c r="E10" s="3">
        <f>E8+(E8^2*EXP(A8)-2*E8)*$E$4</f>
        <v>0.90243860822396804</v>
      </c>
      <c r="F10">
        <f>ABS(C10-E10)</f>
        <v>2.4386082239680196E-3</v>
      </c>
      <c r="G10">
        <f t="shared" si="1"/>
        <v>0.90364296390555521</v>
      </c>
      <c r="H10">
        <f>ABS(E10-G10)</f>
        <v>1.2043556815871659E-3</v>
      </c>
    </row>
    <row r="11" spans="1:8" x14ac:dyDescent="0.25">
      <c r="A11">
        <f t="shared" si="0"/>
        <v>0.125</v>
      </c>
      <c r="G11">
        <f t="shared" si="1"/>
        <v>0.88102206787391102</v>
      </c>
    </row>
    <row r="12" spans="1:8" x14ac:dyDescent="0.25">
      <c r="A12" s="3">
        <f t="shared" si="0"/>
        <v>0.15</v>
      </c>
      <c r="B12" s="3"/>
      <c r="C12" s="3"/>
      <c r="D12" s="3"/>
      <c r="E12" s="3">
        <f>E10+(E10^2*EXP(A10)-2*E10)*$E$4</f>
        <v>0.85719705529578605</v>
      </c>
      <c r="G12">
        <f t="shared" si="1"/>
        <v>0.85895970692813628</v>
      </c>
      <c r="H12">
        <f>ABS(E12-G12)</f>
        <v>1.7626516323502317E-3</v>
      </c>
    </row>
    <row r="13" spans="1:8" x14ac:dyDescent="0.25">
      <c r="A13">
        <f t="shared" si="0"/>
        <v>0.17499999999999999</v>
      </c>
      <c r="G13">
        <f t="shared" si="1"/>
        <v>0.8374420962946072</v>
      </c>
    </row>
    <row r="14" spans="1:8" x14ac:dyDescent="0.25">
      <c r="A14" s="1">
        <f t="shared" si="0"/>
        <v>0.19999999999999998</v>
      </c>
      <c r="B14" s="1">
        <f>B6+(B6^2*EXP(A6)-2*B6)*$B$4</f>
        <v>0.8</v>
      </c>
      <c r="C14" s="2">
        <f>C10+(C10^2*EXP(A10)-2*C10)*$C$4</f>
        <v>0.80951884436412747</v>
      </c>
      <c r="D14">
        <f>ABS(B14-C14)</f>
        <v>9.5188443641274212E-3</v>
      </c>
      <c r="E14" s="3">
        <f>E12+(E12^2*EXP(A12)-2*E12)*$E$4</f>
        <v>0.81416237254592516</v>
      </c>
      <c r="F14">
        <f>ABS(C14-E14)</f>
        <v>4.6435281817976959E-3</v>
      </c>
      <c r="G14">
        <f t="shared" si="1"/>
        <v>0.81645579168450455</v>
      </c>
      <c r="H14">
        <f>ABS(E14-G14)</f>
        <v>2.2934191385793889E-3</v>
      </c>
    </row>
    <row r="15" spans="1:8" x14ac:dyDescent="0.25">
      <c r="A15">
        <f t="shared" si="0"/>
        <v>0.22499999999999998</v>
      </c>
      <c r="G15">
        <f t="shared" si="1"/>
        <v>0.79598768089025751</v>
      </c>
    </row>
    <row r="16" spans="1:8" x14ac:dyDescent="0.25">
      <c r="A16" s="3">
        <f t="shared" si="0"/>
        <v>0.24999999999999997</v>
      </c>
      <c r="B16" s="3"/>
      <c r="C16" s="3"/>
      <c r="D16" s="3"/>
      <c r="E16" s="3">
        <f>E14+(E14^2*EXP(A14)-2*E14)*$E$4</f>
        <v>0.77322710943195305</v>
      </c>
      <c r="G16">
        <f t="shared" si="1"/>
        <v>0.77602497558952277</v>
      </c>
      <c r="H16">
        <f>ABS(E16-G16)</f>
        <v>2.7978661575697172E-3</v>
      </c>
    </row>
    <row r="17" spans="1:8" x14ac:dyDescent="0.25">
      <c r="A17">
        <f t="shared" si="0"/>
        <v>0.27499999999999997</v>
      </c>
      <c r="G17">
        <f t="shared" si="1"/>
        <v>0.756555203351574</v>
      </c>
    </row>
    <row r="18" spans="1:8" x14ac:dyDescent="0.25">
      <c r="A18" s="2">
        <f t="shared" si="0"/>
        <v>0.3</v>
      </c>
      <c r="B18" s="2"/>
      <c r="C18" s="2">
        <f>C14+(C14^2*EXP(A14)-2*C14)*$C$4</f>
        <v>0.72765613379001415</v>
      </c>
      <c r="E18" s="3">
        <f>E16+(E16^2*EXP(A16)-2*E16)*$E$4</f>
        <v>0.73428906474465161</v>
      </c>
      <c r="F18">
        <f>ABS(C18-E18)</f>
        <v>6.6329309546374615E-3</v>
      </c>
      <c r="G18">
        <f t="shared" si="1"/>
        <v>0.73756619984110394</v>
      </c>
      <c r="H18">
        <f>ABS(E18-G18)</f>
        <v>3.2771350964523327E-3</v>
      </c>
    </row>
    <row r="19" spans="1:8" x14ac:dyDescent="0.25">
      <c r="A19">
        <f t="shared" si="0"/>
        <v>0.32500000000000001</v>
      </c>
      <c r="G19">
        <f t="shared" si="1"/>
        <v>0.71904610121456569</v>
      </c>
    </row>
    <row r="20" spans="1:8" x14ac:dyDescent="0.25">
      <c r="A20" s="3">
        <f t="shared" si="0"/>
        <v>0.35000000000000003</v>
      </c>
      <c r="B20" s="3"/>
      <c r="C20" s="3"/>
      <c r="D20" s="3"/>
      <c r="E20" s="3">
        <f>E18+(E18^2*EXP(A18)-2*E18)*$E$4</f>
        <v>0.69725103092632934</v>
      </c>
      <c r="G20">
        <f t="shared" si="1"/>
        <v>0.7009833367042978</v>
      </c>
      <c r="H20">
        <f>ABS(E20-G20)</f>
        <v>3.7323057779684587E-3</v>
      </c>
    </row>
    <row r="21" spans="1:8" x14ac:dyDescent="0.25">
      <c r="A21">
        <f t="shared" si="0"/>
        <v>0.37500000000000006</v>
      </c>
      <c r="G21">
        <f t="shared" si="1"/>
        <v>0.68336662138579696</v>
      </c>
    </row>
    <row r="22" spans="1:8" x14ac:dyDescent="0.25">
      <c r="A22" s="1">
        <f t="shared" si="0"/>
        <v>0.40000000000000008</v>
      </c>
      <c r="B22" s="1">
        <f>B14+(B14^2*EXP(A14)-2*B14)*$B$4</f>
        <v>0.63633955304450174</v>
      </c>
      <c r="C22" s="2">
        <f>C18+(C18^2*EXP(A18)-2*C18)*$C$4</f>
        <v>0.65359769674754886</v>
      </c>
      <c r="D22">
        <f>ABS(B22-C22)</f>
        <v>1.7258143703047124E-2</v>
      </c>
      <c r="E22" s="3">
        <f>E20+(E20^2*EXP(A20)-2*E20)*$E$4</f>
        <v>0.66202055086059375</v>
      </c>
      <c r="F22">
        <f>ABS(C22-E22)</f>
        <v>8.4228541130448864E-3</v>
      </c>
      <c r="G22">
        <f t="shared" si="1"/>
        <v>0.6661849491236157</v>
      </c>
      <c r="H22">
        <f>ABS(E22-G22)</f>
        <v>4.1643982630219512E-3</v>
      </c>
    </row>
    <row r="23" spans="1:8" x14ac:dyDescent="0.25">
      <c r="A23">
        <f t="shared" si="0"/>
        <v>0.4250000000000001</v>
      </c>
      <c r="G23">
        <f t="shared" si="1"/>
        <v>0.64942758569147463</v>
      </c>
    </row>
    <row r="24" spans="1:8" x14ac:dyDescent="0.25">
      <c r="A24" s="3">
        <f t="shared" si="0"/>
        <v>0.45000000000000012</v>
      </c>
      <c r="B24" s="3"/>
      <c r="C24" s="3"/>
      <c r="D24" s="3"/>
      <c r="E24" s="3">
        <f>E22+(E22^2*EXP(A22)-2*E22)*$E$4</f>
        <v>0.62850968652392025</v>
      </c>
      <c r="G24">
        <f t="shared" si="1"/>
        <v>0.63308406206228618</v>
      </c>
      <c r="H24">
        <f>ABS(E24-G24)</f>
        <v>4.5743755383659268E-3</v>
      </c>
    </row>
    <row r="25" spans="1:8" x14ac:dyDescent="0.25">
      <c r="A25">
        <f t="shared" si="0"/>
        <v>0.47500000000000014</v>
      </c>
      <c r="G25">
        <f t="shared" si="1"/>
        <v>0.61714416786389492</v>
      </c>
    </row>
    <row r="26" spans="1:8" x14ac:dyDescent="0.25">
      <c r="A26" s="2">
        <f t="shared" si="0"/>
        <v>0.50000000000000011</v>
      </c>
      <c r="B26" s="2"/>
      <c r="C26" s="2">
        <f>C22+(C22^2*EXP(A22)-2*C22)*$C$4</f>
        <v>0.58660740907716735</v>
      </c>
      <c r="E26" s="3">
        <f>E24+(E24^2*EXP(A24)-2*E24)*$E$4</f>
        <v>0.5966347989188967</v>
      </c>
      <c r="F26">
        <f>ABS(C26-E26)</f>
        <v>1.0027389841729351E-2</v>
      </c>
      <c r="G26">
        <f t="shared" si="1"/>
        <v>0.60159794499644104</v>
      </c>
      <c r="H26">
        <f>ABS(E26-G26)</f>
        <v>4.9631460775443337E-3</v>
      </c>
    </row>
    <row r="27" spans="1:8" x14ac:dyDescent="0.25">
      <c r="A27">
        <f t="shared" si="0"/>
        <v>0.52500000000000013</v>
      </c>
      <c r="G27">
        <f t="shared" si="1"/>
        <v>0.58643568140735647</v>
      </c>
    </row>
    <row r="28" spans="1:8" x14ac:dyDescent="0.25">
      <c r="A28" s="3">
        <f t="shared" si="0"/>
        <v>0.55000000000000016</v>
      </c>
      <c r="B28" s="3"/>
      <c r="C28" s="3"/>
      <c r="D28" s="3"/>
      <c r="E28" s="3">
        <f>E26+(E26^2*EXP(A26)-2*E26)*$E$4</f>
        <v>0.56631633873711107</v>
      </c>
      <c r="G28">
        <f t="shared" si="1"/>
        <v>0.57164790502009954</v>
      </c>
      <c r="H28">
        <f>ABS(E28-G28)</f>
        <v>5.3315662829884758E-3</v>
      </c>
    </row>
    <row r="29" spans="1:8" x14ac:dyDescent="0.25">
      <c r="A29">
        <f t="shared" si="0"/>
        <v>0.57500000000000018</v>
      </c>
      <c r="G29">
        <f t="shared" si="1"/>
        <v>0.55722537781283143</v>
      </c>
    </row>
    <row r="30" spans="1:8" x14ac:dyDescent="0.25">
      <c r="A30" s="1">
        <f t="shared" si="0"/>
        <v>0.6000000000000002</v>
      </c>
      <c r="B30" s="1">
        <f>B22+(B22^2*EXP(A22)-2*B22)*$B$4</f>
        <v>0.50262005804689203</v>
      </c>
      <c r="C30" s="2">
        <f>C26+(C26^2*EXP(A26)-2*C26)*$C$4</f>
        <v>0.52601978677466621</v>
      </c>
      <c r="D30">
        <f>ABS(B30-C30)</f>
        <v>2.3399728727774183E-2</v>
      </c>
      <c r="E30" s="3">
        <f>E28+(E28^2*EXP(A28)-2*E28)*$E$4</f>
        <v>0.53747864722635019</v>
      </c>
      <c r="F30">
        <f>ABS(C30-E30)</f>
        <v>1.1458860451683983E-2</v>
      </c>
      <c r="G30">
        <f t="shared" si="1"/>
        <v>0.54315909004333129</v>
      </c>
      <c r="H30">
        <f>ABS(E30-G30)</f>
        <v>5.6804428169811017E-3</v>
      </c>
    </row>
    <row r="31" spans="1:8" x14ac:dyDescent="0.25">
      <c r="A31">
        <f t="shared" si="0"/>
        <v>0.62500000000000022</v>
      </c>
      <c r="G31">
        <f t="shared" si="1"/>
        <v>0.52944025461653699</v>
      </c>
    </row>
    <row r="32" spans="1:8" x14ac:dyDescent="0.25">
      <c r="A32" s="3">
        <f t="shared" si="0"/>
        <v>0.65000000000000024</v>
      </c>
      <c r="B32" s="3"/>
      <c r="C32" s="3"/>
      <c r="D32" s="3"/>
      <c r="E32" s="3">
        <f>E30+(E30^2*EXP(A30)-2*E30)*$E$4</f>
        <v>0.51004976676216607</v>
      </c>
      <c r="G32">
        <f t="shared" si="1"/>
        <v>0.5160603015911891</v>
      </c>
      <c r="H32">
        <f>ABS(E32-G32)</f>
        <v>6.0105348290230287E-3</v>
      </c>
    </row>
    <row r="33" spans="1:8" x14ac:dyDescent="0.25">
      <c r="A33">
        <f t="shared" si="0"/>
        <v>0.67500000000000027</v>
      </c>
      <c r="G33">
        <f t="shared" si="1"/>
        <v>0.5030108728221413</v>
      </c>
    </row>
    <row r="34" spans="1:8" x14ac:dyDescent="0.25">
      <c r="A34" s="2">
        <f t="shared" si="0"/>
        <v>0.70000000000000029</v>
      </c>
      <c r="B34" s="2"/>
      <c r="C34" s="2">
        <f>C30+(C30^2*EXP(A30)-2*C30)*$C$4</f>
        <v>0.47123327647820962</v>
      </c>
      <c r="E34" s="3">
        <f>E32+(E32^2*EXP(A32)-2*E32)*$E$4</f>
        <v>0.48396126064799683</v>
      </c>
      <c r="F34">
        <f>ABS(C34-E34)</f>
        <v>1.272798416978721E-2</v>
      </c>
      <c r="G34">
        <f t="shared" si="1"/>
        <v>0.49028381673498561</v>
      </c>
      <c r="H34">
        <f>ABS(E34-G34)</f>
        <v>6.3225560869887842E-3</v>
      </c>
    </row>
    <row r="35" spans="1:8" x14ac:dyDescent="0.25">
      <c r="A35">
        <f t="shared" si="0"/>
        <v>0.72500000000000031</v>
      </c>
      <c r="G35">
        <f t="shared" si="1"/>
        <v>0.47787118322972333</v>
      </c>
    </row>
    <row r="36" spans="1:8" x14ac:dyDescent="0.25">
      <c r="A36" s="3">
        <f t="shared" si="0"/>
        <v>0.75000000000000033</v>
      </c>
      <c r="B36" s="3"/>
      <c r="C36" s="3"/>
      <c r="D36" s="3"/>
      <c r="E36" s="3">
        <f>E34+(E34^2*EXP(A34)-2*E34)*$E$4</f>
        <v>0.4591480416909739</v>
      </c>
      <c r="G36">
        <f t="shared" si="1"/>
        <v>0.46576521871029336</v>
      </c>
      <c r="H36">
        <f>ABS(E36-G36)</f>
        <v>6.6171770193194646E-3</v>
      </c>
    </row>
    <row r="37" spans="1:8" x14ac:dyDescent="0.25">
      <c r="A37">
        <f t="shared" si="0"/>
        <v>0.77500000000000036</v>
      </c>
      <c r="G37">
        <f t="shared" si="1"/>
        <v>0.45395836123684746</v>
      </c>
    </row>
    <row r="38" spans="1:8" x14ac:dyDescent="0.25">
      <c r="A38" s="1">
        <f t="shared" si="0"/>
        <v>0.80000000000000038</v>
      </c>
      <c r="B38" s="1">
        <f>B30+(B30^2*EXP(A30)-2*B30)*$B$4</f>
        <v>0.39363528791403712</v>
      </c>
      <c r="C38" s="2">
        <f>C34+(C34^2*EXP(A34)-2*C34)*$C$4</f>
        <v>0.42170417507813474</v>
      </c>
      <c r="D38">
        <f>ABS(B38-C38)</f>
        <v>2.8068887164097611E-2</v>
      </c>
      <c r="E38" s="3">
        <f>E36+(E36^2*EXP(A36)-2*E36)*$E$4</f>
        <v>0.43554820912235742</v>
      </c>
      <c r="F38">
        <f>ABS(C38-E38)</f>
        <v>1.3844034044222686E-2</v>
      </c>
      <c r="G38">
        <f t="shared" si="1"/>
        <v>0.44244323579773953</v>
      </c>
      <c r="H38">
        <f>ABS(E38-G38)</f>
        <v>6.8950266753821099E-3</v>
      </c>
    </row>
    <row r="39" spans="1:8" x14ac:dyDescent="0.25">
      <c r="A39">
        <f t="shared" si="0"/>
        <v>0.8250000000000004</v>
      </c>
      <c r="G39">
        <f t="shared" si="1"/>
        <v>0.4312126496982695</v>
      </c>
    </row>
    <row r="40" spans="1:8" x14ac:dyDescent="0.25">
      <c r="A40" s="3">
        <f t="shared" si="0"/>
        <v>0.85000000000000042</v>
      </c>
      <c r="B40" s="3"/>
      <c r="C40" s="3"/>
      <c r="D40" s="3"/>
      <c r="E40" s="3">
        <f>E38+(E38^2*EXP(A38)-2*E38)*$E$4</f>
        <v>0.41310289345227685</v>
      </c>
      <c r="G40">
        <f t="shared" si="1"/>
        <v>0.42025958806329644</v>
      </c>
      <c r="H40">
        <f>ABS(E40-G40)</f>
        <v>7.1566946110195873E-3</v>
      </c>
    </row>
    <row r="41" spans="1:8" x14ac:dyDescent="0.25">
      <c r="A41">
        <f t="shared" si="0"/>
        <v>0.87500000000000044</v>
      </c>
      <c r="G41">
        <f t="shared" si="1"/>
        <v>0.40957720945090598</v>
      </c>
    </row>
    <row r="42" spans="1:8" x14ac:dyDescent="0.25">
      <c r="A42" s="2">
        <f t="shared" si="0"/>
        <v>0.90000000000000047</v>
      </c>
      <c r="B42" s="2"/>
      <c r="C42" s="2">
        <f>C38+(C38^2*EXP(A38)-2*C38)*$C$4</f>
        <v>0.37694111614193643</v>
      </c>
      <c r="E42" s="3">
        <f>E40+(E40^2*EXP(A40)-2*E40)*$E$4</f>
        <v>0.39175610886816914</v>
      </c>
      <c r="F42">
        <f>ABS(C42-E42)</f>
        <v>1.4814992726232712E-2</v>
      </c>
      <c r="G42">
        <f t="shared" si="1"/>
        <v>0.39915884157438597</v>
      </c>
      <c r="H42">
        <f>ABS(E42-G42)</f>
        <v>7.4027327062168302E-3</v>
      </c>
    </row>
    <row r="43" spans="1:8" x14ac:dyDescent="0.25">
      <c r="A43">
        <f t="shared" si="0"/>
        <v>0.92500000000000049</v>
      </c>
      <c r="G43">
        <f t="shared" si="1"/>
        <v>0.38899797712983275</v>
      </c>
    </row>
    <row r="44" spans="1:8" x14ac:dyDescent="0.25">
      <c r="A44" s="3">
        <f t="shared" si="0"/>
        <v>0.95000000000000051</v>
      </c>
      <c r="B44" s="3"/>
      <c r="C44" s="3"/>
      <c r="D44" s="3"/>
      <c r="E44" s="3">
        <f>E42+(E42^2*EXP(A42)-2*E42)*$E$4</f>
        <v>0.3714546128050516</v>
      </c>
      <c r="G44">
        <f t="shared" si="1"/>
        <v>0.37908826972677573</v>
      </c>
      <c r="H44">
        <f>ABS(E44-G44)</f>
        <v>7.6336569217241301E-3</v>
      </c>
    </row>
    <row r="45" spans="1:8" x14ac:dyDescent="0.25">
      <c r="A45">
        <f t="shared" si="0"/>
        <v>0.97500000000000053</v>
      </c>
      <c r="G45">
        <f t="shared" si="1"/>
        <v>0.36942352991927202</v>
      </c>
    </row>
    <row r="46" spans="1:8" x14ac:dyDescent="0.25">
      <c r="A46" s="1">
        <f t="shared" si="0"/>
        <v>1.0000000000000004</v>
      </c>
      <c r="B46" s="1">
        <f>B38+(B38^2*EXP(A38)-2*B38)*$B$4</f>
        <v>0.3051501252376474</v>
      </c>
      <c r="C46" s="2">
        <f>C42+(C42^2*EXP(A42)-2*C42)*$C$4</f>
        <v>0.33650006657352716</v>
      </c>
      <c r="D46">
        <f>ABS(B46-C46)</f>
        <v>3.1349941335879761E-2</v>
      </c>
      <c r="E46" s="3">
        <f>E44+(E44^2*EXP(A44)-2*E44)*$E$4</f>
        <v>0.35214777233359329</v>
      </c>
      <c r="F46">
        <f>ABS(C46-E46)</f>
        <v>1.5647705760066133E-2</v>
      </c>
      <c r="G46" s="5">
        <f t="shared" si="1"/>
        <v>0.35999772133498614</v>
      </c>
      <c r="H46">
        <f>ABS(E46-G46)</f>
        <v>7.849949001392853E-3</v>
      </c>
    </row>
    <row r="47" spans="1:8" x14ac:dyDescent="0.25">
      <c r="C47" t="s">
        <v>10</v>
      </c>
      <c r="D47">
        <f>MAX(D6:D46)</f>
        <v>3.1349941335879761E-2</v>
      </c>
      <c r="F47">
        <f>MAX(F6:F46)</f>
        <v>1.5647705760066133E-2</v>
      </c>
      <c r="H47" s="4">
        <f>MAX(H6:H46)</f>
        <v>7.849949001392853E-3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Vadym</dc:creator>
  <cp:lastModifiedBy>Влад Чесной</cp:lastModifiedBy>
  <dcterms:created xsi:type="dcterms:W3CDTF">2025-12-05T10:19:07Z</dcterms:created>
  <dcterms:modified xsi:type="dcterms:W3CDTF">2025-12-11T17:42:11Z</dcterms:modified>
</cp:coreProperties>
</file>