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5E60170-B679-4026-B7A2-BD97C9532E2E}" xr6:coauthVersionLast="45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рунге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2" i="2" l="1"/>
  <c r="J96" i="2"/>
  <c r="J95" i="2"/>
  <c r="J87" i="2"/>
  <c r="J86" i="2"/>
  <c r="J78" i="2"/>
  <c r="J77" i="2"/>
  <c r="J69" i="2"/>
  <c r="J68" i="2"/>
  <c r="J60" i="2"/>
  <c r="J59" i="2"/>
  <c r="J51" i="2"/>
  <c r="J50" i="2"/>
  <c r="J42" i="2"/>
  <c r="J41" i="2"/>
  <c r="J33" i="2"/>
  <c r="J32" i="2"/>
  <c r="J24" i="2"/>
  <c r="J23" i="2"/>
  <c r="J15" i="2"/>
  <c r="J14" i="2"/>
  <c r="J5" i="2"/>
  <c r="H6" i="2" l="1"/>
  <c r="D5" i="2"/>
  <c r="C6" i="2" l="1"/>
  <c r="I6" i="2"/>
  <c r="J6" i="2" s="1"/>
  <c r="H8" i="2"/>
  <c r="H7" i="2"/>
  <c r="B6" i="2"/>
  <c r="D6" i="2" l="1"/>
  <c r="C7" i="2" s="1"/>
  <c r="K3" i="2"/>
  <c r="I7" i="2"/>
  <c r="J7" i="2" s="1"/>
  <c r="E5" i="2"/>
  <c r="I8" i="2" l="1"/>
  <c r="J8" i="2" s="1"/>
  <c r="E6" i="2"/>
  <c r="K5" i="2"/>
  <c r="B98" i="2"/>
  <c r="B97" i="2"/>
  <c r="B96" i="2"/>
  <c r="B80" i="2"/>
  <c r="B79" i="2"/>
  <c r="B78" i="2"/>
  <c r="B62" i="2"/>
  <c r="B61" i="2"/>
  <c r="B60" i="2"/>
  <c r="B44" i="2"/>
  <c r="B43" i="2"/>
  <c r="B42" i="2"/>
  <c r="B26" i="2"/>
  <c r="B25" i="2"/>
  <c r="B24" i="2"/>
  <c r="B8" i="2"/>
  <c r="B7" i="2"/>
  <c r="D7" i="2" l="1"/>
  <c r="C8" i="2" l="1"/>
  <c r="D8" i="2" s="1"/>
  <c r="K6" i="2"/>
  <c r="E7" i="2" l="1"/>
  <c r="K8" i="2"/>
  <c r="K7" i="2"/>
  <c r="K9" i="2" l="1"/>
  <c r="I12" i="2" s="1"/>
  <c r="I14" i="2" s="1"/>
  <c r="H17" i="2"/>
  <c r="H14" i="2"/>
  <c r="I15" i="2" l="1"/>
  <c r="H16" i="2"/>
  <c r="H15" i="2"/>
  <c r="K14" i="2" l="1"/>
  <c r="I16" i="2"/>
  <c r="J16" i="2" s="1"/>
  <c r="K15" i="2"/>
  <c r="I17" i="2" l="1"/>
  <c r="J17" i="2" s="1"/>
  <c r="K16" i="2"/>
  <c r="K17" i="2" l="1"/>
  <c r="K18" i="2" s="1"/>
  <c r="I21" i="2" s="1"/>
  <c r="I23" i="2" s="1"/>
  <c r="H21" i="2" l="1"/>
  <c r="H23" i="2" s="1"/>
  <c r="H30" i="2" l="1"/>
  <c r="H24" i="2"/>
  <c r="H25" i="2"/>
  <c r="H26" i="2"/>
  <c r="H33" i="2" l="1"/>
  <c r="H32" i="2"/>
  <c r="H39" i="2" s="1"/>
  <c r="H34" i="2"/>
  <c r="H35" i="2"/>
  <c r="I24" i="2"/>
  <c r="K23" i="2"/>
  <c r="I25" i="2" l="1"/>
  <c r="J25" i="2" s="1"/>
  <c r="K24" i="2"/>
  <c r="H44" i="2" l="1"/>
  <c r="H43" i="2"/>
  <c r="H42" i="2"/>
  <c r="H41" i="2"/>
  <c r="H48" i="2" s="1"/>
  <c r="K25" i="2"/>
  <c r="I26" i="2"/>
  <c r="J26" i="2" s="1"/>
  <c r="H50" i="2" l="1"/>
  <c r="H53" i="2"/>
  <c r="H52" i="2"/>
  <c r="H51" i="2"/>
  <c r="H57" i="2" l="1"/>
  <c r="H59" i="2" l="1"/>
  <c r="H61" i="2"/>
  <c r="H62" i="2"/>
  <c r="H60" i="2"/>
  <c r="H66" i="2" l="1"/>
  <c r="H71" i="2" l="1"/>
  <c r="H70" i="2"/>
  <c r="H69" i="2"/>
  <c r="H68" i="2"/>
  <c r="H75" i="2" l="1"/>
  <c r="H80" i="2" l="1"/>
  <c r="H77" i="2"/>
  <c r="H79" i="2"/>
  <c r="H78" i="2"/>
  <c r="H84" i="2" l="1"/>
  <c r="H87" i="2" l="1"/>
  <c r="H88" i="2"/>
  <c r="H89" i="2"/>
  <c r="H86" i="2"/>
  <c r="H93" i="2" l="1"/>
  <c r="H96" i="2" l="1"/>
  <c r="H98" i="2"/>
  <c r="H95" i="2"/>
  <c r="H97" i="2"/>
  <c r="K26" i="2"/>
  <c r="K27" i="2" s="1"/>
  <c r="I30" i="2" s="1"/>
  <c r="I32" i="2" l="1"/>
  <c r="I33" i="2" l="1"/>
  <c r="K33" i="2" l="1"/>
  <c r="K32" i="2"/>
  <c r="I34" i="2" l="1"/>
  <c r="J34" i="2" l="1"/>
  <c r="I35" i="2" s="1"/>
  <c r="J35" i="2" s="1"/>
  <c r="K35" i="2" s="1"/>
  <c r="K34" i="2" l="1"/>
  <c r="K36" i="2"/>
  <c r="I39" i="2" s="1"/>
  <c r="I41" i="2" l="1"/>
  <c r="K41" i="2" l="1"/>
  <c r="I42" i="2" l="1"/>
  <c r="K42" i="2" s="1"/>
  <c r="I43" i="2" l="1"/>
  <c r="J43" i="2" l="1"/>
  <c r="K43" i="2" s="1"/>
  <c r="I44" i="2" l="1"/>
  <c r="J44" i="2" l="1"/>
  <c r="K44" i="2" s="1"/>
  <c r="K45" i="2" s="1"/>
  <c r="I48" i="2" s="1"/>
  <c r="I50" i="2" l="1"/>
  <c r="K50" i="2" s="1"/>
  <c r="I51" i="2" l="1"/>
  <c r="I52" i="2" s="1"/>
  <c r="J52" i="2" l="1"/>
  <c r="I53" i="2" s="1"/>
  <c r="K51" i="2"/>
  <c r="J53" i="2" l="1"/>
  <c r="K53" i="2" s="1"/>
  <c r="K52" i="2"/>
  <c r="K54" i="2" s="1"/>
  <c r="I57" i="2" s="1"/>
  <c r="I59" i="2" s="1"/>
  <c r="K59" i="2" s="1"/>
  <c r="I60" i="2" l="1"/>
  <c r="K60" i="2" s="1"/>
  <c r="I61" i="2" l="1"/>
  <c r="J61" i="2" l="1"/>
  <c r="I62" i="2" s="1"/>
  <c r="J62" i="2" s="1"/>
  <c r="K62" i="2" s="1"/>
  <c r="K61" i="2" l="1"/>
  <c r="K63" i="2" s="1"/>
  <c r="I66" i="2" s="1"/>
  <c r="I68" i="2" l="1"/>
  <c r="K68" i="2" s="1"/>
  <c r="I69" i="2" l="1"/>
  <c r="I70" i="2" l="1"/>
  <c r="J70" i="2" s="1"/>
  <c r="K69" i="2"/>
  <c r="I71" i="2" l="1"/>
  <c r="K70" i="2"/>
  <c r="J71" i="2" l="1"/>
  <c r="K71" i="2" s="1"/>
  <c r="K72" i="2" s="1"/>
  <c r="I75" i="2" s="1"/>
  <c r="I77" i="2" l="1"/>
  <c r="K77" i="2" s="1"/>
  <c r="I78" i="2" l="1"/>
  <c r="I79" i="2" l="1"/>
  <c r="J79" i="2" s="1"/>
  <c r="K78" i="2"/>
  <c r="I80" i="2" l="1"/>
  <c r="K79" i="2"/>
  <c r="J80" i="2" l="1"/>
  <c r="K80" i="2" s="1"/>
  <c r="K81" i="2" s="1"/>
  <c r="I84" i="2" s="1"/>
  <c r="I86" i="2" s="1"/>
  <c r="I87" i="2" l="1"/>
  <c r="K86" i="2"/>
  <c r="K87" i="2" l="1"/>
  <c r="I88" i="2"/>
  <c r="J88" i="2" s="1"/>
  <c r="K88" i="2" l="1"/>
  <c r="I89" i="2"/>
  <c r="E8" i="2"/>
  <c r="E9" i="2" s="1"/>
  <c r="C21" i="2" s="1"/>
  <c r="K21" i="2" s="1"/>
  <c r="J89" i="2" l="1"/>
  <c r="K89" i="2" s="1"/>
  <c r="K90" i="2" s="1"/>
  <c r="I93" i="2" s="1"/>
  <c r="I95" i="2" s="1"/>
  <c r="K95" i="2" s="1"/>
  <c r="C23" i="2"/>
  <c r="D23" i="2" s="1"/>
  <c r="I96" i="2" l="1"/>
  <c r="C24" i="2"/>
  <c r="D24" i="2" s="1"/>
  <c r="E23" i="2"/>
  <c r="I97" i="2" l="1"/>
  <c r="J97" i="2" s="1"/>
  <c r="K96" i="2"/>
  <c r="E24" i="2"/>
  <c r="C25" i="2"/>
  <c r="D25" i="2" s="1"/>
  <c r="I98" i="2" l="1"/>
  <c r="K97" i="2"/>
  <c r="E25" i="2"/>
  <c r="C26" i="2"/>
  <c r="D26" i="2" s="1"/>
  <c r="J98" i="2" l="1"/>
  <c r="K98" i="2" s="1"/>
  <c r="K99" i="2" s="1"/>
  <c r="E26" i="2"/>
  <c r="E27" i="2" s="1"/>
  <c r="C39" i="2" s="1"/>
  <c r="C41" i="2" l="1"/>
  <c r="D41" i="2" s="1"/>
  <c r="K39" i="2"/>
  <c r="C42" i="2" l="1"/>
  <c r="D42" i="2" s="1"/>
  <c r="E42" i="2" l="1"/>
  <c r="E41" i="2"/>
  <c r="C43" i="2" l="1"/>
  <c r="D43" i="2" l="1"/>
  <c r="E43" i="2" s="1"/>
  <c r="C44" i="2" l="1"/>
  <c r="D44" i="2" s="1"/>
  <c r="E44" i="2" s="1"/>
  <c r="E45" i="2" s="1"/>
  <c r="C57" i="2" s="1"/>
  <c r="C59" i="2" l="1"/>
  <c r="D59" i="2" s="1"/>
  <c r="K57" i="2"/>
  <c r="E59" i="2" l="1"/>
  <c r="C60" i="2" l="1"/>
  <c r="D60" i="2" s="1"/>
  <c r="E60" i="2" l="1"/>
  <c r="C61" i="2" l="1"/>
  <c r="D61" i="2" s="1"/>
  <c r="C62" i="2" l="1"/>
  <c r="E61" i="2"/>
  <c r="D62" i="2" l="1"/>
  <c r="E62" i="2" s="1"/>
  <c r="E63" i="2" s="1"/>
  <c r="C75" i="2" s="1"/>
  <c r="K75" i="2" s="1"/>
  <c r="C77" i="2" l="1"/>
  <c r="D77" i="2" l="1"/>
  <c r="E77" i="2" s="1"/>
  <c r="C78" i="2" l="1"/>
  <c r="D78" i="2"/>
  <c r="C79" i="2" s="1"/>
  <c r="D79" i="2" s="1"/>
  <c r="C80" i="2" l="1"/>
  <c r="E79" i="2"/>
  <c r="E78" i="2"/>
  <c r="D80" i="2"/>
  <c r="E80" i="2" s="1"/>
  <c r="E81" i="2" s="1"/>
  <c r="C93" i="2" s="1"/>
  <c r="C95" i="2" l="1"/>
  <c r="K93" i="2"/>
  <c r="D95" i="2" l="1"/>
  <c r="E95" i="2" s="1"/>
  <c r="C96" i="2" l="1"/>
  <c r="D96" i="2" l="1"/>
  <c r="E96" i="2" s="1"/>
  <c r="C97" i="2" l="1"/>
  <c r="D97" i="2" s="1"/>
  <c r="E97" i="2" l="1"/>
  <c r="C98" i="2"/>
  <c r="D98" i="2" s="1"/>
  <c r="E98" i="2" s="1"/>
  <c r="E99" i="2" s="1"/>
</calcChain>
</file>

<file path=xl/sharedStrings.xml><?xml version="1.0" encoding="utf-8"?>
<sst xmlns="http://schemas.openxmlformats.org/spreadsheetml/2006/main" count="125" uniqueCount="10">
  <si>
    <t>x</t>
  </si>
  <si>
    <t>х</t>
  </si>
  <si>
    <t>у</t>
  </si>
  <si>
    <t>k</t>
  </si>
  <si>
    <t>h</t>
  </si>
  <si>
    <t>Оцінка похибки</t>
  </si>
  <si>
    <t>хі</t>
  </si>
  <si>
    <t>уі</t>
  </si>
  <si>
    <t>y</t>
  </si>
  <si>
    <t>delta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</si>
</sst>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93252</xdr:colOff>
      <xdr:row>10</xdr:row>
      <xdr:rowOff>39965</xdr:rowOff>
    </xdr:from>
    <xdr:to>
      <xdr:col>4</xdr:col>
      <xdr:colOff>214738</xdr:colOff>
      <xdr:row>12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41FB9BA-EEA8-42E3-A196-184A550E8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049" y="1971608"/>
          <a:ext cx="2605979" cy="34636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&quot;Office 2013 – 2022&quot;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"/>
  <sheetViews>
    <sheetView tabSelected="1" topLeftCell="A91" zoomScale="143" zoomScaleNormal="143" workbookViewId="0">
      <selection activeCell="J97" sqref="J97"/>
    </sheetView>
  </sheetViews>
  <sheetFormatPr defaultRowHeight="14.5" x14ac:dyDescent="0.35"/>
  <cols>
    <col min="3" max="3" width="12.453125" customWidth="1"/>
    <col min="4" max="4" width="15.7265625" bestFit="1" customWidth="1"/>
    <col min="6" max="6" width="5.453125" customWidth="1"/>
    <col min="7" max="7" width="3.7265625" customWidth="1"/>
    <col min="9" max="9" width="16.453125" customWidth="1"/>
    <col min="11" max="11" width="28.26953125" customWidth="1"/>
  </cols>
  <sheetData>
    <row r="1" spans="1:11" x14ac:dyDescent="0.35">
      <c r="A1" s="3"/>
      <c r="B1" s="4"/>
      <c r="C1" s="4"/>
      <c r="D1" s="4"/>
      <c r="E1" s="4"/>
      <c r="F1" s="3"/>
      <c r="G1" s="3"/>
      <c r="H1" s="3"/>
      <c r="I1" s="3"/>
      <c r="J1" s="3"/>
      <c r="K1" s="3"/>
    </row>
    <row r="2" spans="1:11" x14ac:dyDescent="0.35">
      <c r="A2" s="3"/>
      <c r="B2" s="5" t="s">
        <v>6</v>
      </c>
      <c r="C2" s="6" t="s">
        <v>7</v>
      </c>
      <c r="D2" s="6" t="s">
        <v>4</v>
      </c>
      <c r="E2" s="7"/>
      <c r="F2" s="3"/>
      <c r="G2" s="3"/>
      <c r="H2" s="17" t="s">
        <v>1</v>
      </c>
      <c r="I2" s="18" t="s">
        <v>2</v>
      </c>
      <c r="J2" s="18" t="s">
        <v>4</v>
      </c>
      <c r="K2" s="27" t="s">
        <v>5</v>
      </c>
    </row>
    <row r="3" spans="1:11" x14ac:dyDescent="0.35">
      <c r="A3" s="3"/>
      <c r="B3" s="8">
        <v>0</v>
      </c>
      <c r="C3" s="9">
        <v>0</v>
      </c>
      <c r="D3" s="4">
        <v>0.2</v>
      </c>
      <c r="E3" s="10"/>
      <c r="F3" s="3"/>
      <c r="G3" s="3"/>
      <c r="H3" s="19">
        <v>0</v>
      </c>
      <c r="I3" s="25">
        <v>1</v>
      </c>
      <c r="J3" s="3">
        <v>0.1</v>
      </c>
      <c r="K3" s="28">
        <f>(C3-I3)/15</f>
        <v>-6.6666666666666666E-2</v>
      </c>
    </row>
    <row r="4" spans="1:11" x14ac:dyDescent="0.35">
      <c r="A4" s="3"/>
      <c r="B4" s="11" t="s">
        <v>0</v>
      </c>
      <c r="C4" s="12" t="s">
        <v>8</v>
      </c>
      <c r="D4" s="12" t="s">
        <v>3</v>
      </c>
      <c r="E4" s="13" t="s">
        <v>9</v>
      </c>
      <c r="F4" s="3"/>
      <c r="G4" s="3"/>
      <c r="H4" s="20" t="s">
        <v>0</v>
      </c>
      <c r="I4" s="21" t="s">
        <v>8</v>
      </c>
      <c r="J4" s="21" t="s">
        <v>3</v>
      </c>
      <c r="K4" s="22" t="s">
        <v>9</v>
      </c>
    </row>
    <row r="5" spans="1:11" x14ac:dyDescent="0.35">
      <c r="A5" s="3"/>
      <c r="B5" s="8">
        <v>0</v>
      </c>
      <c r="C5" s="4">
        <v>0</v>
      </c>
      <c r="D5" s="4">
        <f>$D$3*(C5^2*EXP(B5)-2*C5)</f>
        <v>0</v>
      </c>
      <c r="E5" s="10">
        <f>D5</f>
        <v>0</v>
      </c>
      <c r="F5" s="3"/>
      <c r="G5" s="3"/>
      <c r="H5" s="19">
        <v>0</v>
      </c>
      <c r="I5" s="3">
        <v>0</v>
      </c>
      <c r="J5" s="3">
        <f>$J$3*(I5^2*EXP(H5)-2*I5)</f>
        <v>0</v>
      </c>
      <c r="K5" s="10">
        <f>J5</f>
        <v>0</v>
      </c>
    </row>
    <row r="6" spans="1:11" x14ac:dyDescent="0.35">
      <c r="A6" s="3"/>
      <c r="B6" s="8">
        <f>B3+D3/2</f>
        <v>0.1</v>
      </c>
      <c r="C6" s="4">
        <f>C3+D5/2</f>
        <v>0</v>
      </c>
      <c r="D6" s="4">
        <f>$D$3*(C6^2*EXP(B6)-2*C6)</f>
        <v>0</v>
      </c>
      <c r="E6" s="10">
        <f>D6*2</f>
        <v>0</v>
      </c>
      <c r="F6" s="3"/>
      <c r="G6" s="3"/>
      <c r="H6" s="19">
        <f>H3+J3/2</f>
        <v>0.05</v>
      </c>
      <c r="I6" s="3">
        <f>I3+J5/2</f>
        <v>1</v>
      </c>
      <c r="J6" s="3">
        <f>$J$3*(I6^2*EXP(H6)-2*I6)</f>
        <v>-9.4872890362397599E-2</v>
      </c>
      <c r="K6" s="10">
        <f>J6*2</f>
        <v>-0.1897457807247952</v>
      </c>
    </row>
    <row r="7" spans="1:11" x14ac:dyDescent="0.35">
      <c r="A7" s="3"/>
      <c r="B7" s="8">
        <f>B3+D3/2</f>
        <v>0.1</v>
      </c>
      <c r="C7" s="4">
        <f>C3+D6/2</f>
        <v>0</v>
      </c>
      <c r="D7" s="4">
        <f t="shared" ref="D7:D8" si="0">$D$3*(C7^2*EXP(B7)-2*C7)</f>
        <v>0</v>
      </c>
      <c r="E7" s="10">
        <f>D7*2</f>
        <v>0</v>
      </c>
      <c r="F7" s="3"/>
      <c r="G7" s="3"/>
      <c r="H7" s="19">
        <f>H3+J3/2</f>
        <v>0.05</v>
      </c>
      <c r="I7" s="4">
        <f>I3+J6/2</f>
        <v>0.95256355481880117</v>
      </c>
      <c r="J7" s="3">
        <f t="shared" ref="J6:J8" si="1">$J$3*(I7^2*EXP(H7)-2*I7)</f>
        <v>-9.5122755333939393E-2</v>
      </c>
      <c r="K7" s="10">
        <f>J7*2</f>
        <v>-0.19024551066787879</v>
      </c>
    </row>
    <row r="8" spans="1:11" x14ac:dyDescent="0.35">
      <c r="A8" s="3"/>
      <c r="B8" s="8">
        <f>B3+D3</f>
        <v>0.2</v>
      </c>
      <c r="C8" s="4">
        <f>C3+D7</f>
        <v>0</v>
      </c>
      <c r="D8" s="4">
        <f t="shared" si="0"/>
        <v>0</v>
      </c>
      <c r="E8" s="10">
        <f>D8</f>
        <v>0</v>
      </c>
      <c r="F8" s="3"/>
      <c r="G8" s="3"/>
      <c r="H8" s="19">
        <f>H3+J3</f>
        <v>0.1</v>
      </c>
      <c r="I8" s="4">
        <f>I3+J7</f>
        <v>0.90487724466606057</v>
      </c>
      <c r="J8" s="3">
        <f t="shared" si="1"/>
        <v>-9.0483741628298114E-2</v>
      </c>
      <c r="K8" s="10">
        <f>J8</f>
        <v>-9.0483741628298114E-2</v>
      </c>
    </row>
    <row r="9" spans="1:11" x14ac:dyDescent="0.35">
      <c r="A9" s="3"/>
      <c r="B9" s="14"/>
      <c r="C9" s="15"/>
      <c r="D9" s="15"/>
      <c r="E9" s="16">
        <f>SUM(E5:E8)/6</f>
        <v>0</v>
      </c>
      <c r="F9" s="3"/>
      <c r="G9" s="3"/>
      <c r="H9" s="23"/>
      <c r="I9" s="24"/>
      <c r="J9" s="24"/>
      <c r="K9" s="16">
        <f>SUM(K5:K8)*1/6</f>
        <v>-7.8412505503495336E-2</v>
      </c>
    </row>
    <row r="10" spans="1:11" x14ac:dyDescent="0.35">
      <c r="A10" s="3"/>
      <c r="B10" s="4"/>
      <c r="C10" s="4"/>
      <c r="D10" s="4"/>
      <c r="E10" s="4"/>
      <c r="F10" s="3"/>
      <c r="G10" s="3"/>
      <c r="H10" s="3"/>
      <c r="I10" s="3"/>
      <c r="J10" s="3"/>
      <c r="K10" s="3"/>
    </row>
    <row r="11" spans="1:11" x14ac:dyDescent="0.35">
      <c r="A11" s="3"/>
      <c r="B11" s="4"/>
      <c r="C11" s="4"/>
      <c r="D11" s="4"/>
      <c r="E11" s="4"/>
      <c r="F11" s="3"/>
      <c r="G11" s="3"/>
      <c r="H11" s="17" t="s">
        <v>1</v>
      </c>
      <c r="I11" s="18" t="s">
        <v>2</v>
      </c>
      <c r="J11" s="18" t="s">
        <v>4</v>
      </c>
      <c r="K11" s="1"/>
    </row>
    <row r="12" spans="1:11" x14ac:dyDescent="0.35">
      <c r="A12" s="3"/>
      <c r="B12" s="4"/>
      <c r="C12" s="4"/>
      <c r="D12" s="4"/>
      <c r="E12" s="4"/>
      <c r="F12" s="3"/>
      <c r="G12" s="3"/>
      <c r="H12" s="19">
        <f>H5+J12</f>
        <v>0.1</v>
      </c>
      <c r="I12" s="26">
        <f>K9+I3</f>
        <v>0.92158749449650468</v>
      </c>
      <c r="J12" s="3">
        <v>0.1</v>
      </c>
      <c r="K12" s="2"/>
    </row>
    <row r="13" spans="1:11" x14ac:dyDescent="0.35">
      <c r="A13" s="3"/>
      <c r="B13" s="4"/>
      <c r="C13" s="4"/>
      <c r="D13" s="4"/>
      <c r="E13" s="4"/>
      <c r="F13" s="3"/>
      <c r="G13" s="3"/>
      <c r="H13" s="20" t="s">
        <v>0</v>
      </c>
      <c r="I13" s="21" t="s">
        <v>8</v>
      </c>
      <c r="J13" s="21" t="s">
        <v>3</v>
      </c>
      <c r="K13" s="22" t="s">
        <v>9</v>
      </c>
    </row>
    <row r="14" spans="1:11" x14ac:dyDescent="0.35">
      <c r="A14" s="3"/>
      <c r="B14" s="4"/>
      <c r="C14" s="4"/>
      <c r="D14" s="4"/>
      <c r="E14" s="4"/>
      <c r="F14" s="3"/>
      <c r="G14" s="3"/>
      <c r="H14" s="19">
        <f>H12</f>
        <v>0.1</v>
      </c>
      <c r="I14" s="4">
        <f>I12</f>
        <v>0.92158749449650468</v>
      </c>
      <c r="J14" s="3">
        <f>$J$3*(I14^2*EXP(H14)-2*I14)</f>
        <v>-9.0452734568943441E-2</v>
      </c>
      <c r="K14" s="10">
        <f>J14</f>
        <v>-9.0452734568943441E-2</v>
      </c>
    </row>
    <row r="15" spans="1:11" x14ac:dyDescent="0.35">
      <c r="A15" s="3"/>
      <c r="B15" s="4"/>
      <c r="C15" s="4"/>
      <c r="D15" s="4"/>
      <c r="E15" s="4"/>
      <c r="F15" s="3"/>
      <c r="G15" s="3"/>
      <c r="H15" s="19">
        <f>H12+J12/2</f>
        <v>0.15000000000000002</v>
      </c>
      <c r="I15" s="4">
        <f>I12+J14/2</f>
        <v>0.87636112721203296</v>
      </c>
      <c r="J15" s="3">
        <f t="shared" ref="J15:J17" si="2">$J$3*(I15^2*EXP(H15)-2*I15)</f>
        <v>-8.6042330248654333E-2</v>
      </c>
      <c r="K15" s="10">
        <f>J15*2</f>
        <v>-0.17208466049730867</v>
      </c>
    </row>
    <row r="16" spans="1:11" x14ac:dyDescent="0.35">
      <c r="A16" s="3"/>
      <c r="B16" s="4"/>
      <c r="C16" s="4"/>
      <c r="D16" s="4"/>
      <c r="E16" s="4"/>
      <c r="F16" s="3"/>
      <c r="G16" s="3"/>
      <c r="H16" s="19">
        <f>H12+J12/2</f>
        <v>0.15000000000000002</v>
      </c>
      <c r="I16" s="4">
        <f>I12+J15/2</f>
        <v>0.87856632937217749</v>
      </c>
      <c r="J16" s="3">
        <f t="shared" si="2"/>
        <v>-8.6033744335377332E-2</v>
      </c>
      <c r="K16" s="10">
        <f>J16*2</f>
        <v>-0.17206748867075466</v>
      </c>
    </row>
    <row r="17" spans="1:11" x14ac:dyDescent="0.35">
      <c r="A17" s="3"/>
      <c r="B17" s="4"/>
      <c r="C17" s="4"/>
      <c r="D17" s="4"/>
      <c r="E17" s="4"/>
      <c r="F17" s="3"/>
      <c r="G17" s="3"/>
      <c r="H17" s="19">
        <f>H12+J12</f>
        <v>0.2</v>
      </c>
      <c r="I17" s="4">
        <f>I12+J16</f>
        <v>0.83555375016112732</v>
      </c>
      <c r="J17" s="3">
        <f t="shared" si="2"/>
        <v>-8.1838507993721429E-2</v>
      </c>
      <c r="K17" s="10">
        <f>J17</f>
        <v>-8.1838507993721429E-2</v>
      </c>
    </row>
    <row r="18" spans="1:11" x14ac:dyDescent="0.35">
      <c r="A18" s="3"/>
      <c r="B18" s="4"/>
      <c r="C18" s="4"/>
      <c r="D18" s="4"/>
      <c r="E18" s="4"/>
      <c r="F18" s="3"/>
      <c r="G18" s="3"/>
      <c r="H18" s="23"/>
      <c r="I18" s="24"/>
      <c r="J18" s="24"/>
      <c r="K18" s="16">
        <f>SUM(K14:K17)*1/6</f>
        <v>-8.6073898621788034E-2</v>
      </c>
    </row>
    <row r="19" spans="1:11" x14ac:dyDescent="0.35">
      <c r="A19" s="3"/>
      <c r="B19" s="4"/>
      <c r="C19" s="4"/>
      <c r="D19" s="4"/>
      <c r="E19" s="4"/>
      <c r="F19" s="3"/>
      <c r="G19" s="3"/>
      <c r="H19" s="3"/>
      <c r="I19" s="3"/>
      <c r="J19" s="3"/>
      <c r="K19" s="3"/>
    </row>
    <row r="20" spans="1:11" x14ac:dyDescent="0.35">
      <c r="A20" s="3"/>
      <c r="B20" s="5" t="s">
        <v>1</v>
      </c>
      <c r="C20" s="6" t="s">
        <v>2</v>
      </c>
      <c r="D20" s="6" t="s">
        <v>4</v>
      </c>
      <c r="E20" s="7"/>
      <c r="F20" s="3"/>
      <c r="G20" s="3"/>
      <c r="H20" s="17" t="s">
        <v>1</v>
      </c>
      <c r="I20" s="18" t="s">
        <v>2</v>
      </c>
      <c r="J20" s="18" t="s">
        <v>4</v>
      </c>
      <c r="K20" s="27" t="s">
        <v>5</v>
      </c>
    </row>
    <row r="21" spans="1:11" x14ac:dyDescent="0.35">
      <c r="A21" s="3"/>
      <c r="B21" s="8">
        <v>0.2</v>
      </c>
      <c r="C21" s="9">
        <f>C3+E9</f>
        <v>0</v>
      </c>
      <c r="D21" s="4">
        <v>0.2</v>
      </c>
      <c r="E21" s="10"/>
      <c r="F21" s="3"/>
      <c r="G21" s="3"/>
      <c r="H21" s="19">
        <f>H14+J21</f>
        <v>0.2</v>
      </c>
      <c r="I21" s="26">
        <f>K18+I12</f>
        <v>0.83551359587471663</v>
      </c>
      <c r="J21" s="3">
        <v>0.1</v>
      </c>
      <c r="K21" s="28">
        <f>(C21-I21)/15</f>
        <v>-5.5700906391647778E-2</v>
      </c>
    </row>
    <row r="22" spans="1:11" x14ac:dyDescent="0.35">
      <c r="A22" s="3"/>
      <c r="B22" s="11" t="s">
        <v>0</v>
      </c>
      <c r="C22" s="12" t="s">
        <v>8</v>
      </c>
      <c r="D22" s="12" t="s">
        <v>3</v>
      </c>
      <c r="E22" s="13" t="s">
        <v>9</v>
      </c>
      <c r="F22" s="3"/>
      <c r="G22" s="3"/>
      <c r="H22" s="20" t="s">
        <v>0</v>
      </c>
      <c r="I22" s="21" t="s">
        <v>8</v>
      </c>
      <c r="J22" s="21" t="s">
        <v>3</v>
      </c>
      <c r="K22" s="22" t="s">
        <v>9</v>
      </c>
    </row>
    <row r="23" spans="1:11" x14ac:dyDescent="0.35">
      <c r="A23" s="3"/>
      <c r="B23" s="8">
        <v>0.2</v>
      </c>
      <c r="C23" s="4">
        <f>C21</f>
        <v>0</v>
      </c>
      <c r="D23" s="4">
        <f>$D$21*(C23^2*EXP(B23)-2*C23)</f>
        <v>0</v>
      </c>
      <c r="E23" s="10">
        <f>D23</f>
        <v>0</v>
      </c>
      <c r="F23" s="3"/>
      <c r="G23" s="3"/>
      <c r="H23" s="19">
        <f>H21</f>
        <v>0.2</v>
      </c>
      <c r="I23" s="4">
        <f>I21</f>
        <v>0.83551359587471663</v>
      </c>
      <c r="J23" s="3">
        <f>$J$3*(I23^2*EXP(H23)-2*I23)</f>
        <v>-8.1838672812071592E-2</v>
      </c>
      <c r="K23" s="10">
        <f>J23</f>
        <v>-8.1838672812071592E-2</v>
      </c>
    </row>
    <row r="24" spans="1:11" x14ac:dyDescent="0.35">
      <c r="A24" s="3"/>
      <c r="B24" s="8">
        <f>B21+D21/2</f>
        <v>0.30000000000000004</v>
      </c>
      <c r="C24" s="4">
        <f>C21+D23/2</f>
        <v>0</v>
      </c>
      <c r="D24" s="4">
        <f>$D$21*(C24^2*EXP(B24)-2*C24)</f>
        <v>0</v>
      </c>
      <c r="E24" s="10">
        <f>D24*2</f>
        <v>0</v>
      </c>
      <c r="F24" s="3"/>
      <c r="G24" s="3"/>
      <c r="H24" s="19">
        <f>H21+J21/2</f>
        <v>0.25</v>
      </c>
      <c r="I24" s="4">
        <f>I21+J23/2</f>
        <v>0.79459425946868079</v>
      </c>
      <c r="J24" s="3">
        <f t="shared" ref="J24:J26" si="3">$J$3*(I24^2*EXP(H24)-2*I24)</f>
        <v>-7.7848050360824428E-2</v>
      </c>
      <c r="K24" s="10">
        <f>J24*2</f>
        <v>-0.15569610072164886</v>
      </c>
    </row>
    <row r="25" spans="1:11" x14ac:dyDescent="0.35">
      <c r="A25" s="3"/>
      <c r="B25" s="8">
        <f>B21+D21/2</f>
        <v>0.30000000000000004</v>
      </c>
      <c r="C25" s="4">
        <f>C21+D24/2</f>
        <v>0</v>
      </c>
      <c r="D25" s="4">
        <f t="shared" ref="D25:D26" si="4">$D$21*(C25^2*EXP(B25)-2*C25)</f>
        <v>0</v>
      </c>
      <c r="E25" s="10">
        <f>D25*2</f>
        <v>0</v>
      </c>
      <c r="F25" s="3"/>
      <c r="G25" s="3"/>
      <c r="H25" s="19">
        <f>H21+J21/2</f>
        <v>0.25</v>
      </c>
      <c r="I25" s="4">
        <f>I21+J24/2</f>
        <v>0.79658957069430447</v>
      </c>
      <c r="J25" s="3">
        <f t="shared" si="3"/>
        <v>-7.7839446482934491E-2</v>
      </c>
      <c r="K25" s="10">
        <f>J25*2</f>
        <v>-0.15567889296586898</v>
      </c>
    </row>
    <row r="26" spans="1:11" x14ac:dyDescent="0.35">
      <c r="A26" s="3"/>
      <c r="B26" s="8">
        <f>B21+D21</f>
        <v>0.4</v>
      </c>
      <c r="C26" s="4">
        <f>C21+D25</f>
        <v>0</v>
      </c>
      <c r="D26" s="4">
        <f t="shared" si="4"/>
        <v>0</v>
      </c>
      <c r="E26" s="10">
        <f>D26</f>
        <v>0</v>
      </c>
      <c r="F26" s="3"/>
      <c r="G26" s="3"/>
      <c r="H26" s="19">
        <f>H21+J21</f>
        <v>0.30000000000000004</v>
      </c>
      <c r="I26" s="4">
        <f>I21+J25</f>
        <v>0.75767414939178213</v>
      </c>
      <c r="J26" s="3">
        <f t="shared" si="3"/>
        <v>-7.4043469564852235E-2</v>
      </c>
      <c r="K26" s="10">
        <f>J26</f>
        <v>-7.4043469564852235E-2</v>
      </c>
    </row>
    <row r="27" spans="1:11" x14ac:dyDescent="0.35">
      <c r="A27" s="3"/>
      <c r="B27" s="14"/>
      <c r="C27" s="15"/>
      <c r="D27" s="15"/>
      <c r="E27" s="16">
        <f>SUM(E23:E26)*1/6</f>
        <v>0</v>
      </c>
      <c r="F27" s="3"/>
      <c r="G27" s="3"/>
      <c r="H27" s="23"/>
      <c r="I27" s="24"/>
      <c r="J27" s="24"/>
      <c r="K27" s="16">
        <f>SUM(K23:K26)*1/6</f>
        <v>-7.7876189344073615E-2</v>
      </c>
    </row>
    <row r="28" spans="1:11" x14ac:dyDescent="0.35">
      <c r="A28" s="3"/>
      <c r="B28" s="4"/>
      <c r="C28" s="4"/>
      <c r="D28" s="4"/>
      <c r="E28" s="4"/>
      <c r="F28" s="3"/>
      <c r="G28" s="3"/>
      <c r="H28" s="3"/>
      <c r="I28" s="3"/>
      <c r="J28" s="3"/>
      <c r="K28" s="3"/>
    </row>
    <row r="29" spans="1:11" x14ac:dyDescent="0.35">
      <c r="A29" s="3"/>
      <c r="B29" s="4"/>
      <c r="C29" s="4"/>
      <c r="D29" s="4"/>
      <c r="E29" s="4"/>
      <c r="F29" s="3"/>
      <c r="G29" s="3"/>
      <c r="H29" s="17" t="s">
        <v>1</v>
      </c>
      <c r="I29" s="18" t="s">
        <v>2</v>
      </c>
      <c r="J29" s="18" t="s">
        <v>4</v>
      </c>
      <c r="K29" s="1"/>
    </row>
    <row r="30" spans="1:11" x14ac:dyDescent="0.35">
      <c r="A30" s="3"/>
      <c r="B30" s="4"/>
      <c r="C30" s="4"/>
      <c r="D30" s="4"/>
      <c r="E30" s="4"/>
      <c r="F30" s="3"/>
      <c r="G30" s="3"/>
      <c r="H30" s="19">
        <f>H23+J30</f>
        <v>0.30000000000000004</v>
      </c>
      <c r="I30" s="26">
        <f>K27+I21</f>
        <v>0.75763740653064304</v>
      </c>
      <c r="J30" s="3">
        <v>0.1</v>
      </c>
      <c r="K30" s="2"/>
    </row>
    <row r="31" spans="1:11" x14ac:dyDescent="0.35">
      <c r="A31" s="3"/>
      <c r="B31" s="4"/>
      <c r="C31" s="4"/>
      <c r="D31" s="4"/>
      <c r="E31" s="4"/>
      <c r="F31" s="3"/>
      <c r="G31" s="3"/>
      <c r="H31" s="20" t="s">
        <v>0</v>
      </c>
      <c r="I31" s="21" t="s">
        <v>8</v>
      </c>
      <c r="J31" s="21" t="s">
        <v>3</v>
      </c>
      <c r="K31" s="22" t="s">
        <v>9</v>
      </c>
    </row>
    <row r="32" spans="1:11" x14ac:dyDescent="0.35">
      <c r="A32" s="3"/>
      <c r="B32" s="4"/>
      <c r="C32" s="4"/>
      <c r="D32" s="4"/>
      <c r="E32" s="4"/>
      <c r="F32" s="3"/>
      <c r="G32" s="3"/>
      <c r="H32" s="19">
        <f>H30</f>
        <v>0.30000000000000004</v>
      </c>
      <c r="I32" s="4">
        <f>I30</f>
        <v>0.75763740653064304</v>
      </c>
      <c r="J32" s="3">
        <f>$J$3*(I32^2*EXP(H32)-2*I32)</f>
        <v>-7.4043636585590059E-2</v>
      </c>
      <c r="K32" s="10">
        <f>J32</f>
        <v>-7.4043636585590059E-2</v>
      </c>
    </row>
    <row r="33" spans="1:11" x14ac:dyDescent="0.35">
      <c r="A33" s="3"/>
      <c r="B33" s="4"/>
      <c r="C33" s="4"/>
      <c r="D33" s="4"/>
      <c r="E33" s="4"/>
      <c r="F33" s="3"/>
      <c r="G33" s="3"/>
      <c r="H33" s="19">
        <f>H30+J30/2</f>
        <v>0.35000000000000003</v>
      </c>
      <c r="I33" s="4">
        <f>I30+J32/2</f>
        <v>0.72061558823784799</v>
      </c>
      <c r="J33" s="3">
        <f t="shared" ref="J33:J35" si="5">$J$3*(I33^2*EXP(H33)-2*I33)</f>
        <v>-7.0432809327095419E-2</v>
      </c>
      <c r="K33" s="10">
        <f>J33*2</f>
        <v>-0.14086561865419084</v>
      </c>
    </row>
    <row r="34" spans="1:11" x14ac:dyDescent="0.35">
      <c r="A34" s="3"/>
      <c r="B34" s="4"/>
      <c r="C34" s="4"/>
      <c r="D34" s="4"/>
      <c r="E34" s="4"/>
      <c r="F34" s="3"/>
      <c r="G34" s="3"/>
      <c r="H34" s="19">
        <f>H30+J30/2</f>
        <v>0.35000000000000003</v>
      </c>
      <c r="I34" s="4">
        <f>I30+J33/2</f>
        <v>0.72242100186709535</v>
      </c>
      <c r="J34" s="3">
        <f t="shared" si="5"/>
        <v>-7.0424185516778204E-2</v>
      </c>
      <c r="K34" s="10">
        <f>J34*2</f>
        <v>-0.14084837103355641</v>
      </c>
    </row>
    <row r="35" spans="1:11" x14ac:dyDescent="0.35">
      <c r="A35" s="3"/>
      <c r="B35" s="4"/>
      <c r="C35" s="4"/>
      <c r="D35" s="4"/>
      <c r="E35" s="4"/>
      <c r="F35" s="3"/>
      <c r="G35" s="3"/>
      <c r="H35" s="19">
        <f>H30+J30</f>
        <v>0.4</v>
      </c>
      <c r="I35" s="4">
        <f>I30+J34</f>
        <v>0.68721322101386484</v>
      </c>
      <c r="J35" s="3">
        <f t="shared" si="5"/>
        <v>-6.6989431005693365E-2</v>
      </c>
      <c r="K35" s="10">
        <f>J35</f>
        <v>-6.6989431005693365E-2</v>
      </c>
    </row>
    <row r="36" spans="1:11" x14ac:dyDescent="0.35">
      <c r="A36" s="3"/>
      <c r="B36" s="4"/>
      <c r="C36" s="4"/>
      <c r="D36" s="4"/>
      <c r="E36" s="4"/>
      <c r="F36" s="3"/>
      <c r="G36" s="3"/>
      <c r="H36" s="23"/>
      <c r="I36" s="24"/>
      <c r="J36" s="24"/>
      <c r="K36" s="16">
        <f>SUM(K32:K35)*1/6</f>
        <v>-7.0457842879838445E-2</v>
      </c>
    </row>
    <row r="37" spans="1:11" x14ac:dyDescent="0.35">
      <c r="A37" s="3"/>
      <c r="B37" s="4"/>
      <c r="C37" s="4"/>
      <c r="D37" s="4"/>
      <c r="E37" s="4"/>
      <c r="F37" s="3"/>
      <c r="G37" s="3"/>
      <c r="H37" s="3"/>
      <c r="I37" s="3"/>
      <c r="J37" s="3"/>
      <c r="K37" s="3"/>
    </row>
    <row r="38" spans="1:11" x14ac:dyDescent="0.35">
      <c r="A38" s="3"/>
      <c r="B38" s="5" t="s">
        <v>1</v>
      </c>
      <c r="C38" s="6" t="s">
        <v>2</v>
      </c>
      <c r="D38" s="6" t="s">
        <v>4</v>
      </c>
      <c r="E38" s="7"/>
      <c r="F38" s="3"/>
      <c r="G38" s="3"/>
      <c r="H38" s="17" t="s">
        <v>1</v>
      </c>
      <c r="I38" s="18" t="s">
        <v>2</v>
      </c>
      <c r="J38" s="18" t="s">
        <v>4</v>
      </c>
      <c r="K38" s="27" t="s">
        <v>5</v>
      </c>
    </row>
    <row r="39" spans="1:11" x14ac:dyDescent="0.35">
      <c r="A39" s="3"/>
      <c r="B39" s="8">
        <v>0.4</v>
      </c>
      <c r="C39" s="4">
        <f>C21+E27</f>
        <v>0</v>
      </c>
      <c r="D39" s="4">
        <v>0.2</v>
      </c>
      <c r="E39" s="10"/>
      <c r="F39" s="3"/>
      <c r="G39" s="3"/>
      <c r="H39" s="19">
        <f>H32+J39</f>
        <v>0.4</v>
      </c>
      <c r="I39" s="26">
        <f>K36+I30</f>
        <v>0.68717956365080457</v>
      </c>
      <c r="J39" s="3">
        <v>0.1</v>
      </c>
      <c r="K39" s="28">
        <f>(C39-I39)/15</f>
        <v>-4.5811970910053637E-2</v>
      </c>
    </row>
    <row r="40" spans="1:11" x14ac:dyDescent="0.35">
      <c r="A40" s="3"/>
      <c r="B40" s="11" t="s">
        <v>0</v>
      </c>
      <c r="C40" s="12" t="s">
        <v>8</v>
      </c>
      <c r="D40" s="12" t="s">
        <v>3</v>
      </c>
      <c r="E40" s="13" t="s">
        <v>9</v>
      </c>
      <c r="F40" s="3"/>
      <c r="G40" s="3"/>
      <c r="H40" s="20" t="s">
        <v>0</v>
      </c>
      <c r="I40" s="21" t="s">
        <v>8</v>
      </c>
      <c r="J40" s="21" t="s">
        <v>3</v>
      </c>
      <c r="K40" s="22" t="s">
        <v>9</v>
      </c>
    </row>
    <row r="41" spans="1:11" x14ac:dyDescent="0.35">
      <c r="A41" s="3"/>
      <c r="B41" s="8">
        <v>0.4</v>
      </c>
      <c r="C41" s="4">
        <f>C39</f>
        <v>0</v>
      </c>
      <c r="D41" s="4">
        <f>$D$39*(C41^2*EXP(B41)-2*C41)</f>
        <v>0</v>
      </c>
      <c r="E41" s="10">
        <f>D41</f>
        <v>0</v>
      </c>
      <c r="F41" s="3"/>
      <c r="G41" s="3"/>
      <c r="H41" s="19">
        <f>H39</f>
        <v>0.4</v>
      </c>
      <c r="I41" s="4">
        <f>I39</f>
        <v>0.68717956365080457</v>
      </c>
      <c r="J41" s="3">
        <f>$J$3*(I41^2*EXP(H41)-2*I41)</f>
        <v>-6.698960048095158E-2</v>
      </c>
      <c r="K41" s="10">
        <f>J41</f>
        <v>-6.698960048095158E-2</v>
      </c>
    </row>
    <row r="42" spans="1:11" x14ac:dyDescent="0.35">
      <c r="A42" s="3"/>
      <c r="B42" s="8">
        <f>B39+D39/2</f>
        <v>0.5</v>
      </c>
      <c r="C42" s="4">
        <f>C39+D41/2</f>
        <v>0</v>
      </c>
      <c r="D42" s="4">
        <f t="shared" ref="D42:D44" si="6">$D$39*(C42^2*EXP(B42)-2*C42)</f>
        <v>0</v>
      </c>
      <c r="E42" s="10">
        <f>D42*2</f>
        <v>0</v>
      </c>
      <c r="F42" s="3"/>
      <c r="G42" s="3"/>
      <c r="H42" s="19">
        <f>H39+J39/2</f>
        <v>0.45</v>
      </c>
      <c r="I42" s="4">
        <f>I39+J41/2</f>
        <v>0.65368476341032877</v>
      </c>
      <c r="J42" s="3">
        <f t="shared" ref="J42:J44" si="7">$J$3*(I42^2*EXP(H42)-2*I42)</f>
        <v>-6.3722381755736177E-2</v>
      </c>
      <c r="K42" s="10">
        <f>J42*2</f>
        <v>-0.12744476351147235</v>
      </c>
    </row>
    <row r="43" spans="1:11" x14ac:dyDescent="0.35">
      <c r="A43" s="3"/>
      <c r="B43" s="8">
        <f>B39+D39/2</f>
        <v>0.5</v>
      </c>
      <c r="C43" s="4">
        <f>C39+D42/2</f>
        <v>0</v>
      </c>
      <c r="D43" s="4">
        <f t="shared" si="6"/>
        <v>0</v>
      </c>
      <c r="E43" s="10">
        <f>D43*2</f>
        <v>0</v>
      </c>
      <c r="F43" s="3"/>
      <c r="G43" s="3"/>
      <c r="H43" s="19">
        <f>H39+J39/2</f>
        <v>0.45</v>
      </c>
      <c r="I43" s="4">
        <f>I39+J42/2</f>
        <v>0.65531837277293647</v>
      </c>
      <c r="J43" s="3">
        <f t="shared" si="7"/>
        <v>-6.3713735785179762E-2</v>
      </c>
      <c r="K43" s="10">
        <f>J43*2</f>
        <v>-0.12742747157035952</v>
      </c>
    </row>
    <row r="44" spans="1:11" x14ac:dyDescent="0.35">
      <c r="A44" s="3"/>
      <c r="B44" s="8">
        <f>B39+D39</f>
        <v>0.60000000000000009</v>
      </c>
      <c r="C44" s="4">
        <f>C39+D43</f>
        <v>0</v>
      </c>
      <c r="D44" s="4">
        <f t="shared" si="6"/>
        <v>0</v>
      </c>
      <c r="E44" s="10">
        <f>D44</f>
        <v>0</v>
      </c>
      <c r="F44" s="3"/>
      <c r="G44" s="3"/>
      <c r="H44" s="19">
        <f>H39+J39</f>
        <v>0.5</v>
      </c>
      <c r="I44" s="4">
        <f>I39+J43</f>
        <v>0.62346582786562477</v>
      </c>
      <c r="J44" s="3">
        <f t="shared" si="7"/>
        <v>-6.0605780658348422E-2</v>
      </c>
      <c r="K44" s="10">
        <f>J44</f>
        <v>-6.0605780658348422E-2</v>
      </c>
    </row>
    <row r="45" spans="1:11" x14ac:dyDescent="0.35">
      <c r="A45" s="3"/>
      <c r="B45" s="14"/>
      <c r="C45" s="15"/>
      <c r="D45" s="15"/>
      <c r="E45" s="16">
        <f>SUM(E41:E44)*1/6</f>
        <v>0</v>
      </c>
      <c r="F45" s="3"/>
      <c r="G45" s="3"/>
      <c r="H45" s="23"/>
      <c r="I45" s="24"/>
      <c r="J45" s="24"/>
      <c r="K45" s="16">
        <f>SUM(K41:K44)*1/6</f>
        <v>-6.3744602703521988E-2</v>
      </c>
    </row>
    <row r="46" spans="1:11" x14ac:dyDescent="0.35">
      <c r="A46" s="3"/>
      <c r="B46" s="4"/>
      <c r="C46" s="4"/>
      <c r="D46" s="4"/>
      <c r="E46" s="4"/>
      <c r="F46" s="3"/>
      <c r="G46" s="3"/>
      <c r="H46" s="3"/>
      <c r="I46" s="3"/>
      <c r="J46" s="3"/>
      <c r="K46" s="3"/>
    </row>
    <row r="47" spans="1:11" x14ac:dyDescent="0.35">
      <c r="A47" s="3"/>
      <c r="B47" s="4"/>
      <c r="C47" s="4"/>
      <c r="D47" s="4"/>
      <c r="E47" s="4"/>
      <c r="F47" s="3"/>
      <c r="G47" s="3"/>
      <c r="H47" s="17" t="s">
        <v>1</v>
      </c>
      <c r="I47" s="18" t="s">
        <v>2</v>
      </c>
      <c r="J47" s="18" t="s">
        <v>4</v>
      </c>
      <c r="K47" s="1"/>
    </row>
    <row r="48" spans="1:11" x14ac:dyDescent="0.35">
      <c r="A48" s="3"/>
      <c r="B48" s="4"/>
      <c r="C48" s="4"/>
      <c r="D48" s="4"/>
      <c r="E48" s="4"/>
      <c r="F48" s="3"/>
      <c r="G48" s="3"/>
      <c r="H48" s="19">
        <f>H41+J48</f>
        <v>0.5</v>
      </c>
      <c r="I48" s="26">
        <f>K45+I39</f>
        <v>0.62343496094728257</v>
      </c>
      <c r="J48" s="3">
        <v>0.1</v>
      </c>
      <c r="K48" s="2"/>
    </row>
    <row r="49" spans="1:11" x14ac:dyDescent="0.35">
      <c r="A49" s="3"/>
      <c r="B49" s="4"/>
      <c r="C49" s="4"/>
      <c r="D49" s="4"/>
      <c r="E49" s="4"/>
      <c r="F49" s="3"/>
      <c r="G49" s="3"/>
      <c r="H49" s="20" t="s">
        <v>0</v>
      </c>
      <c r="I49" s="21" t="s">
        <v>8</v>
      </c>
      <c r="J49" s="21" t="s">
        <v>3</v>
      </c>
      <c r="K49" s="22" t="s">
        <v>9</v>
      </c>
    </row>
    <row r="50" spans="1:11" x14ac:dyDescent="0.35">
      <c r="A50" s="3"/>
      <c r="B50" s="4"/>
      <c r="C50" s="4"/>
      <c r="D50" s="4"/>
      <c r="E50" s="4"/>
      <c r="F50" s="3"/>
      <c r="G50" s="3"/>
      <c r="H50" s="19">
        <f>H48</f>
        <v>0.5</v>
      </c>
      <c r="I50" s="4">
        <f>I48</f>
        <v>0.62343496094728257</v>
      </c>
      <c r="J50" s="3">
        <f>$J$3*(I50^2*EXP(H50)-2*I50)</f>
        <v>-6.0605952870605398E-2</v>
      </c>
      <c r="K50" s="10">
        <f>J50</f>
        <v>-6.0605952870605398E-2</v>
      </c>
    </row>
    <row r="51" spans="1:11" x14ac:dyDescent="0.35">
      <c r="A51" s="3"/>
      <c r="B51" s="4"/>
      <c r="C51" s="4"/>
      <c r="D51" s="4"/>
      <c r="E51" s="4"/>
      <c r="F51" s="3"/>
      <c r="G51" s="3"/>
      <c r="H51" s="19">
        <f>H48+J48/2</f>
        <v>0.55000000000000004</v>
      </c>
      <c r="I51" s="4">
        <f>I48+J50/2</f>
        <v>0.5931319845119799</v>
      </c>
      <c r="J51" s="3">
        <f t="shared" ref="J51:J53" si="8">$J$3*(I51^2*EXP(H51)-2*I51)</f>
        <v>-5.7649593596210497E-2</v>
      </c>
      <c r="K51" s="10">
        <f>J51*2</f>
        <v>-0.11529918719242099</v>
      </c>
    </row>
    <row r="52" spans="1:11" x14ac:dyDescent="0.35">
      <c r="A52" s="3"/>
      <c r="B52" s="4"/>
      <c r="C52" s="4"/>
      <c r="D52" s="4"/>
      <c r="E52" s="4"/>
      <c r="F52" s="3"/>
      <c r="G52" s="3"/>
      <c r="H52" s="19">
        <f>H48+J48/2</f>
        <v>0.55000000000000004</v>
      </c>
      <c r="I52" s="4">
        <f>I48+J51/2</f>
        <v>0.59461016414917733</v>
      </c>
      <c r="J52" s="3">
        <f t="shared" si="8"/>
        <v>-5.7640922939818318E-2</v>
      </c>
      <c r="K52" s="10">
        <f>J52*2</f>
        <v>-0.11528184587963664</v>
      </c>
    </row>
    <row r="53" spans="1:11" x14ac:dyDescent="0.35">
      <c r="A53" s="3"/>
      <c r="B53" s="4"/>
      <c r="C53" s="4"/>
      <c r="D53" s="4"/>
      <c r="E53" s="4"/>
      <c r="F53" s="3"/>
      <c r="G53" s="3"/>
      <c r="H53" s="19">
        <f>H48+J48</f>
        <v>0.6</v>
      </c>
      <c r="I53" s="4">
        <f>I48+J52</f>
        <v>0.5657940380074642</v>
      </c>
      <c r="J53" s="3">
        <f t="shared" si="8"/>
        <v>-5.4828613343376569E-2</v>
      </c>
      <c r="K53" s="10">
        <f>J53</f>
        <v>-5.4828613343376569E-2</v>
      </c>
    </row>
    <row r="54" spans="1:11" x14ac:dyDescent="0.35">
      <c r="A54" s="3"/>
      <c r="B54" s="4"/>
      <c r="C54" s="4"/>
      <c r="D54" s="4"/>
      <c r="E54" s="4"/>
      <c r="F54" s="3"/>
      <c r="G54" s="3"/>
      <c r="H54" s="23"/>
      <c r="I54" s="24"/>
      <c r="J54" s="24"/>
      <c r="K54" s="16">
        <f>SUM(K50:K53)*1/6</f>
        <v>-5.7669266547673265E-2</v>
      </c>
    </row>
    <row r="55" spans="1:11" x14ac:dyDescent="0.35">
      <c r="A55" s="3"/>
      <c r="B55" s="4"/>
      <c r="C55" s="4"/>
      <c r="D55" s="4"/>
      <c r="E55" s="4"/>
      <c r="F55" s="3"/>
      <c r="G55" s="3"/>
      <c r="H55" s="3"/>
      <c r="I55" s="3"/>
      <c r="J55" s="3"/>
      <c r="K55" s="3"/>
    </row>
    <row r="56" spans="1:11" x14ac:dyDescent="0.35">
      <c r="A56" s="3"/>
      <c r="B56" s="5" t="s">
        <v>1</v>
      </c>
      <c r="C56" s="6" t="s">
        <v>2</v>
      </c>
      <c r="D56" s="6" t="s">
        <v>4</v>
      </c>
      <c r="E56" s="7"/>
      <c r="F56" s="3"/>
      <c r="G56" s="3"/>
      <c r="H56" s="17" t="s">
        <v>1</v>
      </c>
      <c r="I56" s="18" t="s">
        <v>2</v>
      </c>
      <c r="J56" s="18" t="s">
        <v>4</v>
      </c>
      <c r="K56" s="27" t="s">
        <v>5</v>
      </c>
    </row>
    <row r="57" spans="1:11" x14ac:dyDescent="0.35">
      <c r="A57" s="3"/>
      <c r="B57" s="8">
        <v>0.6</v>
      </c>
      <c r="C57" s="4">
        <f>C39+E45</f>
        <v>0</v>
      </c>
      <c r="D57" s="4">
        <v>0.2</v>
      </c>
      <c r="E57" s="10"/>
      <c r="F57" s="3"/>
      <c r="G57" s="3"/>
      <c r="H57" s="19">
        <f>H50+J57</f>
        <v>0.6</v>
      </c>
      <c r="I57" s="26">
        <f>K54+I48</f>
        <v>0.56576569439960933</v>
      </c>
      <c r="J57" s="3">
        <v>0.1</v>
      </c>
      <c r="K57" s="28">
        <f>(C57-I57)/15</f>
        <v>-3.7717712959973955E-2</v>
      </c>
    </row>
    <row r="58" spans="1:11" x14ac:dyDescent="0.35">
      <c r="A58" s="3"/>
      <c r="B58" s="11" t="s">
        <v>0</v>
      </c>
      <c r="C58" s="12" t="s">
        <v>8</v>
      </c>
      <c r="D58" s="12" t="s">
        <v>3</v>
      </c>
      <c r="E58" s="13" t="s">
        <v>9</v>
      </c>
      <c r="F58" s="3"/>
      <c r="G58" s="3"/>
      <c r="H58" s="20" t="s">
        <v>0</v>
      </c>
      <c r="I58" s="21" t="s">
        <v>8</v>
      </c>
      <c r="J58" s="21" t="s">
        <v>3</v>
      </c>
      <c r="K58" s="22" t="s">
        <v>9</v>
      </c>
    </row>
    <row r="59" spans="1:11" x14ac:dyDescent="0.35">
      <c r="A59" s="3"/>
      <c r="B59" s="8">
        <v>0.6</v>
      </c>
      <c r="C59" s="4">
        <f>C57</f>
        <v>0</v>
      </c>
      <c r="D59" s="4">
        <f>$D$57*(C59^2*EXP(B59)-2*C59)</f>
        <v>0</v>
      </c>
      <c r="E59" s="10">
        <f>D59</f>
        <v>0</v>
      </c>
      <c r="F59" s="3"/>
      <c r="G59" s="3"/>
      <c r="H59" s="19">
        <f>H57</f>
        <v>0.6</v>
      </c>
      <c r="I59" s="4">
        <f>I57</f>
        <v>0.56576569439960933</v>
      </c>
      <c r="J59" s="3">
        <f>$J$3*(I59^2*EXP(H59)-2*I59)</f>
        <v>-5.4828788609653227E-2</v>
      </c>
      <c r="K59" s="10">
        <f>J59</f>
        <v>-5.4828788609653227E-2</v>
      </c>
    </row>
    <row r="60" spans="1:11" x14ac:dyDescent="0.35">
      <c r="A60" s="3"/>
      <c r="B60" s="8">
        <f>B57+D57/2</f>
        <v>0.7</v>
      </c>
      <c r="C60" s="4">
        <f>C57+D59/2</f>
        <v>0</v>
      </c>
      <c r="D60" s="4">
        <f>$D$57*(C60^2*EXP(B60)-2*C60)</f>
        <v>0</v>
      </c>
      <c r="E60" s="10">
        <f>D60*2</f>
        <v>0</v>
      </c>
      <c r="F60" s="3"/>
      <c r="G60" s="3"/>
      <c r="H60" s="19">
        <f>H57+J57/2</f>
        <v>0.65</v>
      </c>
      <c r="I60" s="4">
        <f>I57+J59/2</f>
        <v>0.53835130009478271</v>
      </c>
      <c r="J60" s="3">
        <f t="shared" ref="J60:J62" si="9">$J$3*(I60^2*EXP(H60)-2*I60)</f>
        <v>-5.2153649174613181E-2</v>
      </c>
      <c r="K60" s="10">
        <f>J60*2</f>
        <v>-0.10430729834922636</v>
      </c>
    </row>
    <row r="61" spans="1:11" x14ac:dyDescent="0.35">
      <c r="A61" s="3"/>
      <c r="B61" s="8">
        <f>B57+D57/2</f>
        <v>0.7</v>
      </c>
      <c r="C61" s="4">
        <f>C57+D60/2</f>
        <v>0</v>
      </c>
      <c r="D61" s="4">
        <f t="shared" ref="D61:D62" si="10">$D$57*(C61^2*EXP(B61)-2*C61)</f>
        <v>0</v>
      </c>
      <c r="E61" s="10">
        <f>D61*2</f>
        <v>0</v>
      </c>
      <c r="F61" s="3"/>
      <c r="G61" s="3"/>
      <c r="H61" s="19">
        <f>H57+J57/2</f>
        <v>0.65</v>
      </c>
      <c r="I61" s="4">
        <f>I57+J60/2</f>
        <v>0.5396888698123028</v>
      </c>
      <c r="J61" s="3">
        <f t="shared" si="9"/>
        <v>-5.2144950963986872E-2</v>
      </c>
      <c r="K61" s="10">
        <f>J61*2</f>
        <v>-0.10428990192797374</v>
      </c>
    </row>
    <row r="62" spans="1:11" x14ac:dyDescent="0.35">
      <c r="A62" s="3"/>
      <c r="B62" s="8">
        <f>B57+D57</f>
        <v>0.8</v>
      </c>
      <c r="C62" s="4">
        <f>C57+D61</f>
        <v>0</v>
      </c>
      <c r="D62" s="4">
        <f t="shared" si="10"/>
        <v>0</v>
      </c>
      <c r="E62" s="10">
        <f>D62</f>
        <v>0</v>
      </c>
      <c r="F62" s="3"/>
      <c r="G62" s="3"/>
      <c r="H62" s="19">
        <f>H57+J57</f>
        <v>0.7</v>
      </c>
      <c r="I62" s="4">
        <f>I57+J61</f>
        <v>0.51362074343562247</v>
      </c>
      <c r="J62" s="3">
        <f t="shared" si="9"/>
        <v>-4.9600090026263838E-2</v>
      </c>
      <c r="K62" s="10">
        <f>J62</f>
        <v>-4.9600090026263838E-2</v>
      </c>
    </row>
    <row r="63" spans="1:11" x14ac:dyDescent="0.35">
      <c r="A63" s="3"/>
      <c r="B63" s="14"/>
      <c r="C63" s="15"/>
      <c r="D63" s="15"/>
      <c r="E63" s="16">
        <f>SUM(E59:E62)*1/6</f>
        <v>0</v>
      </c>
      <c r="F63" s="3"/>
      <c r="G63" s="3"/>
      <c r="H63" s="23"/>
      <c r="I63" s="24"/>
      <c r="J63" s="24"/>
      <c r="K63" s="16">
        <f>SUM(K59:K62)*1/6</f>
        <v>-5.2171013152186196E-2</v>
      </c>
    </row>
    <row r="64" spans="1:11" x14ac:dyDescent="0.35">
      <c r="A64" s="3"/>
      <c r="B64" s="4"/>
      <c r="C64" s="4"/>
      <c r="D64" s="4"/>
      <c r="E64" s="4"/>
      <c r="F64" s="3"/>
      <c r="G64" s="3"/>
      <c r="H64" s="3"/>
      <c r="I64" s="3"/>
      <c r="J64" s="3"/>
      <c r="K64" s="3"/>
    </row>
    <row r="65" spans="1:11" x14ac:dyDescent="0.35">
      <c r="A65" s="3"/>
      <c r="B65" s="4"/>
      <c r="C65" s="4"/>
      <c r="D65" s="4"/>
      <c r="E65" s="4"/>
      <c r="F65" s="3"/>
      <c r="G65" s="3"/>
      <c r="H65" s="17" t="s">
        <v>1</v>
      </c>
      <c r="I65" s="18" t="s">
        <v>2</v>
      </c>
      <c r="J65" s="18" t="s">
        <v>4</v>
      </c>
      <c r="K65" s="1"/>
    </row>
    <row r="66" spans="1:11" x14ac:dyDescent="0.35">
      <c r="A66" s="3"/>
      <c r="B66" s="4"/>
      <c r="C66" s="4"/>
      <c r="D66" s="4"/>
      <c r="E66" s="4"/>
      <c r="F66" s="3"/>
      <c r="G66" s="3"/>
      <c r="H66" s="19">
        <f>H59+J66</f>
        <v>0.7</v>
      </c>
      <c r="I66" s="26">
        <f>K63+I57</f>
        <v>0.51359468124742313</v>
      </c>
      <c r="J66" s="3">
        <v>0.1</v>
      </c>
      <c r="K66" s="2"/>
    </row>
    <row r="67" spans="1:11" x14ac:dyDescent="0.35">
      <c r="A67" s="3"/>
      <c r="B67" s="4"/>
      <c r="C67" s="4"/>
      <c r="D67" s="4"/>
      <c r="E67" s="4"/>
      <c r="F67" s="3"/>
      <c r="G67" s="3"/>
      <c r="H67" s="20" t="s">
        <v>0</v>
      </c>
      <c r="I67" s="21" t="s">
        <v>8</v>
      </c>
      <c r="J67" s="21" t="s">
        <v>3</v>
      </c>
      <c r="K67" s="22" t="s">
        <v>9</v>
      </c>
    </row>
    <row r="68" spans="1:11" x14ac:dyDescent="0.35">
      <c r="A68" s="3"/>
      <c r="B68" s="4"/>
      <c r="C68" s="4"/>
      <c r="D68" s="4"/>
      <c r="E68" s="4"/>
      <c r="F68" s="3"/>
      <c r="G68" s="3"/>
      <c r="H68" s="19">
        <f>H66</f>
        <v>0.7</v>
      </c>
      <c r="I68" s="4">
        <f>I66</f>
        <v>0.51359468124742313</v>
      </c>
      <c r="J68" s="3">
        <f>$J$3*(I68^2*EXP(H68)-2*I68)</f>
        <v>-4.9600268703003506E-2</v>
      </c>
      <c r="K68" s="10">
        <f>J68</f>
        <v>-4.9600268703003506E-2</v>
      </c>
    </row>
    <row r="69" spans="1:11" x14ac:dyDescent="0.35">
      <c r="A69" s="3"/>
      <c r="B69" s="4"/>
      <c r="C69" s="4"/>
      <c r="D69" s="4"/>
      <c r="E69" s="4"/>
      <c r="F69" s="3"/>
      <c r="G69" s="3"/>
      <c r="H69" s="19">
        <f>H66+J66/2</f>
        <v>0.75</v>
      </c>
      <c r="I69" s="4">
        <f>I66+J68/2</f>
        <v>0.48879454689592139</v>
      </c>
      <c r="J69" s="3">
        <f t="shared" ref="J69:J71" si="11">$J$3*(I69^2*EXP(H69)-2*I69)</f>
        <v>-4.7179521891056543E-2</v>
      </c>
      <c r="K69" s="10">
        <f>J69*2</f>
        <v>-9.4359043782113086E-2</v>
      </c>
    </row>
    <row r="70" spans="1:11" x14ac:dyDescent="0.35">
      <c r="A70" s="3"/>
      <c r="B70" s="4"/>
      <c r="C70" s="4"/>
      <c r="D70" s="4"/>
      <c r="E70" s="4"/>
      <c r="F70" s="3"/>
      <c r="G70" s="3"/>
      <c r="H70" s="19">
        <f>H66+J66/2</f>
        <v>0.75</v>
      </c>
      <c r="I70" s="4">
        <f>I66+J69/2</f>
        <v>0.49000492030189485</v>
      </c>
      <c r="J70" s="3">
        <f t="shared" si="11"/>
        <v>-4.7170792861022597E-2</v>
      </c>
      <c r="K70" s="10">
        <f>J70*2</f>
        <v>-9.4341585722045193E-2</v>
      </c>
    </row>
    <row r="71" spans="1:11" x14ac:dyDescent="0.35">
      <c r="A71" s="3"/>
      <c r="B71" s="4"/>
      <c r="C71" s="4"/>
      <c r="D71" s="4"/>
      <c r="E71" s="4"/>
      <c r="F71" s="3"/>
      <c r="G71" s="3"/>
      <c r="H71" s="19">
        <f>H66+J66</f>
        <v>0.79999999999999993</v>
      </c>
      <c r="I71" s="4">
        <f>I66+J70</f>
        <v>0.46642388838640053</v>
      </c>
      <c r="J71" s="3">
        <f t="shared" si="11"/>
        <v>-4.4867857996862104E-2</v>
      </c>
      <c r="K71" s="10">
        <f>J71</f>
        <v>-4.4867857996862104E-2</v>
      </c>
    </row>
    <row r="72" spans="1:11" x14ac:dyDescent="0.35">
      <c r="A72" s="3"/>
      <c r="B72" s="4"/>
      <c r="C72" s="4"/>
      <c r="D72" s="4"/>
      <c r="E72" s="4"/>
      <c r="F72" s="3"/>
      <c r="G72" s="3"/>
      <c r="H72" s="23"/>
      <c r="I72" s="24"/>
      <c r="J72" s="24"/>
      <c r="K72" s="16">
        <f>SUM(K68:K71)*1/6</f>
        <v>-4.7194792700670646E-2</v>
      </c>
    </row>
    <row r="73" spans="1:11" x14ac:dyDescent="0.35">
      <c r="A73" s="3"/>
      <c r="B73" s="4"/>
      <c r="C73" s="4"/>
      <c r="D73" s="4"/>
      <c r="E73" s="4"/>
      <c r="F73" s="3"/>
      <c r="G73" s="3"/>
      <c r="H73" s="3"/>
      <c r="I73" s="3"/>
      <c r="J73" s="3"/>
      <c r="K73" s="3"/>
    </row>
    <row r="74" spans="1:11" x14ac:dyDescent="0.35">
      <c r="A74" s="3"/>
      <c r="B74" s="5" t="s">
        <v>1</v>
      </c>
      <c r="C74" s="6" t="s">
        <v>2</v>
      </c>
      <c r="D74" s="6" t="s">
        <v>4</v>
      </c>
      <c r="E74" s="7"/>
      <c r="F74" s="3"/>
      <c r="G74" s="3"/>
      <c r="H74" s="17" t="s">
        <v>1</v>
      </c>
      <c r="I74" s="18" t="s">
        <v>2</v>
      </c>
      <c r="J74" s="18" t="s">
        <v>4</v>
      </c>
      <c r="K74" s="27" t="s">
        <v>5</v>
      </c>
    </row>
    <row r="75" spans="1:11" x14ac:dyDescent="0.35">
      <c r="A75" s="3"/>
      <c r="B75" s="8">
        <v>0.8</v>
      </c>
      <c r="C75" s="4">
        <f>C57+E63</f>
        <v>0</v>
      </c>
      <c r="D75" s="4">
        <v>0.2</v>
      </c>
      <c r="E75" s="10"/>
      <c r="F75" s="3"/>
      <c r="G75" s="3"/>
      <c r="H75" s="19">
        <f>H68+J75</f>
        <v>0.79999999999999993</v>
      </c>
      <c r="I75" s="26">
        <f>K72+I66</f>
        <v>0.46639988854675252</v>
      </c>
      <c r="J75" s="3">
        <v>0.1</v>
      </c>
      <c r="K75" s="28">
        <f>(C75-I75)/15</f>
        <v>-3.1093325903116833E-2</v>
      </c>
    </row>
    <row r="76" spans="1:11" x14ac:dyDescent="0.35">
      <c r="A76" s="3"/>
      <c r="B76" s="11" t="s">
        <v>0</v>
      </c>
      <c r="C76" s="12" t="s">
        <v>8</v>
      </c>
      <c r="D76" s="12" t="s">
        <v>3</v>
      </c>
      <c r="E76" s="13" t="s">
        <v>9</v>
      </c>
      <c r="F76" s="3"/>
      <c r="G76" s="3"/>
      <c r="H76" s="20" t="s">
        <v>0</v>
      </c>
      <c r="I76" s="21" t="s">
        <v>8</v>
      </c>
      <c r="J76" s="21" t="s">
        <v>3</v>
      </c>
      <c r="K76" s="22" t="s">
        <v>9</v>
      </c>
    </row>
    <row r="77" spans="1:11" x14ac:dyDescent="0.35">
      <c r="A77" s="3"/>
      <c r="B77" s="8">
        <v>0.8</v>
      </c>
      <c r="C77" s="4">
        <f>C75</f>
        <v>0</v>
      </c>
      <c r="D77" s="4">
        <f>$D$75*(C77^2*EXP(B77)-2*C77)</f>
        <v>0</v>
      </c>
      <c r="E77" s="10">
        <f>D77</f>
        <v>0</v>
      </c>
      <c r="F77" s="3"/>
      <c r="G77" s="3"/>
      <c r="H77" s="19">
        <f>H75</f>
        <v>0.79999999999999993</v>
      </c>
      <c r="I77" s="4">
        <f>I75</f>
        <v>0.46639988854675252</v>
      </c>
      <c r="J77" s="3">
        <f>$J$3*(I77^2*EXP(H77)-2*I77)</f>
        <v>-4.4868040485629958E-2</v>
      </c>
      <c r="K77" s="10">
        <f>J77</f>
        <v>-4.4868040485629958E-2</v>
      </c>
    </row>
    <row r="78" spans="1:11" x14ac:dyDescent="0.35">
      <c r="A78" s="3"/>
      <c r="B78" s="8">
        <f>B75+D75/2</f>
        <v>0.9</v>
      </c>
      <c r="C78" s="4">
        <f>C75+D77/2</f>
        <v>0</v>
      </c>
      <c r="D78" s="4">
        <f t="shared" ref="D78:D80" si="12">$D$75*(C78^2*EXP(B78)-2*C78)</f>
        <v>0</v>
      </c>
      <c r="E78" s="10">
        <f>D78*2</f>
        <v>0</v>
      </c>
      <c r="F78" s="3"/>
      <c r="G78" s="3"/>
      <c r="H78" s="19">
        <f>H75+J75/2</f>
        <v>0.85</v>
      </c>
      <c r="I78" s="4">
        <f>I75+J77/2</f>
        <v>0.44396586830393753</v>
      </c>
      <c r="J78" s="3">
        <f t="shared" ref="J78:J80" si="13">$J$3*(I78^2*EXP(H78)-2*I78)</f>
        <v>-4.2677402431130447E-2</v>
      </c>
      <c r="K78" s="10">
        <f>J78*2</f>
        <v>-8.5354804862260894E-2</v>
      </c>
    </row>
    <row r="79" spans="1:11" x14ac:dyDescent="0.35">
      <c r="A79" s="3"/>
      <c r="B79" s="8">
        <f>B75+D75/2</f>
        <v>0.9</v>
      </c>
      <c r="C79" s="4">
        <f>C75+D78/2</f>
        <v>0</v>
      </c>
      <c r="D79" s="4">
        <f t="shared" si="12"/>
        <v>0</v>
      </c>
      <c r="E79" s="10">
        <f>D79*2</f>
        <v>0</v>
      </c>
      <c r="F79" s="3"/>
      <c r="G79" s="3"/>
      <c r="H79" s="19">
        <f>H75+J75/2</f>
        <v>0.85</v>
      </c>
      <c r="I79" s="4">
        <f>I75+J78/2</f>
        <v>0.44506118733118727</v>
      </c>
      <c r="J79" s="3">
        <f t="shared" si="13"/>
        <v>-4.2668638854570784E-2</v>
      </c>
      <c r="K79" s="10">
        <f>J79*2</f>
        <v>-8.5337277709141568E-2</v>
      </c>
    </row>
    <row r="80" spans="1:11" x14ac:dyDescent="0.35">
      <c r="A80" s="3"/>
      <c r="B80" s="8">
        <f>B75+D75</f>
        <v>1</v>
      </c>
      <c r="C80" s="4">
        <f>C75+D79</f>
        <v>0</v>
      </c>
      <c r="D80" s="4">
        <f t="shared" si="12"/>
        <v>0</v>
      </c>
      <c r="E80" s="10">
        <f>D80</f>
        <v>0</v>
      </c>
      <c r="F80" s="3"/>
      <c r="G80" s="3"/>
      <c r="H80" s="19">
        <f>H75+J75</f>
        <v>0.89999999999999991</v>
      </c>
      <c r="I80" s="4">
        <f>I75+J79</f>
        <v>0.42373124969218173</v>
      </c>
      <c r="J80" s="3">
        <f t="shared" si="13"/>
        <v>-4.0584525701498959E-2</v>
      </c>
      <c r="K80" s="10">
        <f>J80</f>
        <v>-4.0584525701498959E-2</v>
      </c>
    </row>
    <row r="81" spans="1:11" x14ac:dyDescent="0.35">
      <c r="A81" s="3"/>
      <c r="B81" s="14"/>
      <c r="C81" s="15"/>
      <c r="D81" s="15"/>
      <c r="E81" s="16">
        <f>SUM(E77:E80)*1/6</f>
        <v>0</v>
      </c>
      <c r="F81" s="3"/>
      <c r="G81" s="3"/>
      <c r="H81" s="23"/>
      <c r="I81" s="24"/>
      <c r="J81" s="24"/>
      <c r="K81" s="16">
        <f>SUM(K77:K80)*1/6</f>
        <v>-4.2690774793088561E-2</v>
      </c>
    </row>
    <row r="82" spans="1:11" x14ac:dyDescent="0.35">
      <c r="A82" s="3"/>
      <c r="B82" s="4"/>
      <c r="C82" s="4"/>
      <c r="D82" s="4"/>
      <c r="E82" s="4"/>
      <c r="F82" s="3"/>
      <c r="G82" s="3"/>
      <c r="H82" s="3"/>
      <c r="I82" s="3"/>
      <c r="J82" s="3"/>
      <c r="K82" s="3"/>
    </row>
    <row r="83" spans="1:11" x14ac:dyDescent="0.35">
      <c r="A83" s="3"/>
      <c r="B83" s="4"/>
      <c r="C83" s="4"/>
      <c r="D83" s="4"/>
      <c r="E83" s="4"/>
      <c r="F83" s="3"/>
      <c r="G83" s="3"/>
      <c r="H83" s="17" t="s">
        <v>1</v>
      </c>
      <c r="I83" s="18" t="s">
        <v>2</v>
      </c>
      <c r="J83" s="18" t="s">
        <v>4</v>
      </c>
      <c r="K83" s="1"/>
    </row>
    <row r="84" spans="1:11" x14ac:dyDescent="0.35">
      <c r="A84" s="3"/>
      <c r="B84" s="4"/>
      <c r="C84" s="4"/>
      <c r="D84" s="4"/>
      <c r="E84" s="4"/>
      <c r="F84" s="3"/>
      <c r="G84" s="3"/>
      <c r="H84" s="19">
        <f>H77+J84</f>
        <v>0.89999999999999991</v>
      </c>
      <c r="I84" s="26">
        <f>K81+I75</f>
        <v>0.42370911375366394</v>
      </c>
      <c r="J84" s="3">
        <v>0.1</v>
      </c>
      <c r="K84" s="2"/>
    </row>
    <row r="85" spans="1:11" x14ac:dyDescent="0.35">
      <c r="A85" s="3"/>
      <c r="B85" s="4"/>
      <c r="C85" s="4"/>
      <c r="D85" s="4"/>
      <c r="E85" s="4"/>
      <c r="F85" s="3"/>
      <c r="G85" s="3"/>
      <c r="H85" s="20" t="s">
        <v>0</v>
      </c>
      <c r="I85" s="21" t="s">
        <v>8</v>
      </c>
      <c r="J85" s="21" t="s">
        <v>3</v>
      </c>
      <c r="K85" s="22" t="s">
        <v>9</v>
      </c>
    </row>
    <row r="86" spans="1:11" x14ac:dyDescent="0.35">
      <c r="A86" s="3"/>
      <c r="B86" s="4"/>
      <c r="C86" s="4"/>
      <c r="D86" s="4"/>
      <c r="E86" s="4"/>
      <c r="F86" s="3"/>
      <c r="G86" s="3"/>
      <c r="H86" s="19">
        <f>H84</f>
        <v>0.89999999999999991</v>
      </c>
      <c r="I86" s="4">
        <f>I84</f>
        <v>0.42370911375366394</v>
      </c>
      <c r="J86" s="3">
        <f>$J$3*(I86^2*EXP(H86)-2*I86)</f>
        <v>-4.0584712455670628E-2</v>
      </c>
      <c r="K86" s="10">
        <f>J86</f>
        <v>-4.0584712455670628E-2</v>
      </c>
    </row>
    <row r="87" spans="1:11" x14ac:dyDescent="0.35">
      <c r="A87" s="3"/>
      <c r="B87" s="4"/>
      <c r="C87" s="4"/>
      <c r="D87" s="4"/>
      <c r="E87" s="4"/>
      <c r="F87" s="3"/>
      <c r="G87" s="3"/>
      <c r="H87" s="19">
        <f>H84+J84/2</f>
        <v>0.95</v>
      </c>
      <c r="I87" s="4">
        <f>I84+J86/2</f>
        <v>0.40341675752582862</v>
      </c>
      <c r="J87" s="3">
        <f t="shared" ref="J87:J89" si="14">$J$3*(I87^2*EXP(H87)-2*I87)</f>
        <v>-3.8602198903623937E-2</v>
      </c>
      <c r="K87" s="10">
        <f>J87*2</f>
        <v>-7.7204397807247874E-2</v>
      </c>
    </row>
    <row r="88" spans="1:11" x14ac:dyDescent="0.35">
      <c r="A88" s="3"/>
      <c r="B88" s="4"/>
      <c r="C88" s="4"/>
      <c r="D88" s="4"/>
      <c r="E88" s="4"/>
      <c r="F88" s="3"/>
      <c r="G88" s="3"/>
      <c r="H88" s="19">
        <f>H84+J84/2</f>
        <v>0.95</v>
      </c>
      <c r="I88" s="4">
        <f>I84+J87/2</f>
        <v>0.40440801430185197</v>
      </c>
      <c r="J88" s="3">
        <f t="shared" si="14"/>
        <v>-3.8593396512173792E-2</v>
      </c>
      <c r="K88" s="10">
        <f>J88*2</f>
        <v>-7.7186793024347583E-2</v>
      </c>
    </row>
    <row r="89" spans="1:11" x14ac:dyDescent="0.35">
      <c r="A89" s="3"/>
      <c r="B89" s="4"/>
      <c r="C89" s="4"/>
      <c r="D89" s="4"/>
      <c r="E89" s="4"/>
      <c r="F89" s="3"/>
      <c r="G89" s="3"/>
      <c r="H89" s="19">
        <f>H84+J84</f>
        <v>0.99999999999999989</v>
      </c>
      <c r="I89" s="4">
        <f>I84+J88</f>
        <v>0.38511571724149013</v>
      </c>
      <c r="J89" s="3">
        <f t="shared" si="14"/>
        <v>-3.6707186896295776E-2</v>
      </c>
      <c r="K89" s="10">
        <f>J89</f>
        <v>-3.6707186896295776E-2</v>
      </c>
    </row>
    <row r="90" spans="1:11" x14ac:dyDescent="0.35">
      <c r="A90" s="3"/>
      <c r="B90" s="4"/>
      <c r="C90" s="4"/>
      <c r="D90" s="4"/>
      <c r="E90" s="4"/>
      <c r="F90" s="3"/>
      <c r="G90" s="3"/>
      <c r="H90" s="23"/>
      <c r="I90" s="24"/>
      <c r="J90" s="24"/>
      <c r="K90" s="16">
        <f>SUM(K86:K89)*1/6</f>
        <v>-3.8613848363926978E-2</v>
      </c>
    </row>
    <row r="91" spans="1:11" x14ac:dyDescent="0.35">
      <c r="A91" s="3"/>
      <c r="B91" s="4"/>
      <c r="C91" s="4"/>
      <c r="D91" s="4"/>
      <c r="E91" s="4"/>
      <c r="F91" s="3"/>
      <c r="G91" s="3"/>
      <c r="H91" s="3"/>
      <c r="I91" s="3"/>
      <c r="J91" s="3"/>
      <c r="K91" s="3"/>
    </row>
    <row r="92" spans="1:11" x14ac:dyDescent="0.35">
      <c r="A92" s="3"/>
      <c r="B92" s="5" t="s">
        <v>1</v>
      </c>
      <c r="C92" s="6" t="s">
        <v>2</v>
      </c>
      <c r="D92" s="6" t="s">
        <v>4</v>
      </c>
      <c r="E92" s="7"/>
      <c r="F92" s="3"/>
      <c r="G92" s="3"/>
      <c r="H92" s="17" t="s">
        <v>1</v>
      </c>
      <c r="I92" s="18" t="s">
        <v>2</v>
      </c>
      <c r="J92" s="18" t="s">
        <v>4</v>
      </c>
      <c r="K92" s="27" t="s">
        <v>5</v>
      </c>
    </row>
    <row r="93" spans="1:11" x14ac:dyDescent="0.35">
      <c r="A93" s="3"/>
      <c r="B93" s="8">
        <v>1</v>
      </c>
      <c r="C93" s="4">
        <f>C75+E81</f>
        <v>0</v>
      </c>
      <c r="D93" s="4">
        <v>0.2</v>
      </c>
      <c r="E93" s="10"/>
      <c r="F93" s="3"/>
      <c r="G93" s="3"/>
      <c r="H93" s="19">
        <f>H86+J93</f>
        <v>0.99999999999999989</v>
      </c>
      <c r="I93" s="26">
        <f>K90+I84</f>
        <v>0.38509526538973693</v>
      </c>
      <c r="J93" s="3">
        <v>0.1</v>
      </c>
      <c r="K93" s="28">
        <f>(C93-I93)/15</f>
        <v>-2.5673017692649128E-2</v>
      </c>
    </row>
    <row r="94" spans="1:11" x14ac:dyDescent="0.35">
      <c r="A94" s="3"/>
      <c r="B94" s="11" t="s">
        <v>0</v>
      </c>
      <c r="C94" s="12" t="s">
        <v>8</v>
      </c>
      <c r="D94" s="12" t="s">
        <v>3</v>
      </c>
      <c r="E94" s="13" t="s">
        <v>9</v>
      </c>
      <c r="F94" s="3"/>
      <c r="G94" s="3"/>
      <c r="H94" s="20" t="s">
        <v>0</v>
      </c>
      <c r="I94" s="21" t="s">
        <v>8</v>
      </c>
      <c r="J94" s="21" t="s">
        <v>3</v>
      </c>
      <c r="K94" s="22" t="s">
        <v>9</v>
      </c>
    </row>
    <row r="95" spans="1:11" x14ac:dyDescent="0.35">
      <c r="A95" s="3"/>
      <c r="B95" s="8">
        <v>1</v>
      </c>
      <c r="C95" s="4">
        <f>C93</f>
        <v>0</v>
      </c>
      <c r="D95" s="4">
        <f>$D$93*(C95^2*EXP(B95)-2*C95)</f>
        <v>0</v>
      </c>
      <c r="E95" s="10">
        <f>D95</f>
        <v>0</v>
      </c>
      <c r="F95" s="3"/>
      <c r="G95" s="3"/>
      <c r="H95" s="19">
        <f>H93</f>
        <v>0.99999999999999989</v>
      </c>
      <c r="I95" s="4">
        <f>I93</f>
        <v>0.38509526538973693</v>
      </c>
      <c r="J95" s="3">
        <f>$J$3*(I95^2*EXP(H95)-2*I95)</f>
        <v>-3.6707378428947189E-2</v>
      </c>
      <c r="K95" s="10">
        <f>J95</f>
        <v>-3.6707378428947189E-2</v>
      </c>
    </row>
    <row r="96" spans="1:11" x14ac:dyDescent="0.35">
      <c r="A96" s="3"/>
      <c r="B96" s="8">
        <f>B93+D93/2</f>
        <v>1.1000000000000001</v>
      </c>
      <c r="C96" s="4">
        <f>C93+D95/2</f>
        <v>0</v>
      </c>
      <c r="D96" s="4">
        <f t="shared" ref="D96:D98" si="15">$D$93*(C96^2*EXP(B96)-2*C96)</f>
        <v>0</v>
      </c>
      <c r="E96" s="10">
        <f>D96*2</f>
        <v>0</v>
      </c>
      <c r="F96" s="3"/>
      <c r="G96" s="3"/>
      <c r="H96" s="19">
        <f>H93+J93/2</f>
        <v>1.0499999999999998</v>
      </c>
      <c r="I96" s="4">
        <f>I93+J95/2</f>
        <v>0.36674157617526332</v>
      </c>
      <c r="J96" s="3">
        <f t="shared" ref="J96:J98" si="16">$J$3*(I96^2*EXP(H96)-2*I96)</f>
        <v>-3.4913083815422762E-2</v>
      </c>
      <c r="K96" s="10">
        <f>J96*2</f>
        <v>-6.9826167630845523E-2</v>
      </c>
    </row>
    <row r="97" spans="1:11" x14ac:dyDescent="0.35">
      <c r="A97" s="3"/>
      <c r="B97" s="8">
        <f>B93+D93/2</f>
        <v>1.1000000000000001</v>
      </c>
      <c r="C97" s="4">
        <f>C93+D96/2</f>
        <v>0</v>
      </c>
      <c r="D97" s="4">
        <f t="shared" si="15"/>
        <v>0</v>
      </c>
      <c r="E97" s="10">
        <f>D97*2</f>
        <v>0</v>
      </c>
      <c r="F97" s="3"/>
      <c r="G97" s="3"/>
      <c r="H97" s="19">
        <f>H93+J93/2</f>
        <v>1.0499999999999998</v>
      </c>
      <c r="I97" s="4">
        <f>I93+J96/2</f>
        <v>0.36763872348202553</v>
      </c>
      <c r="J97" s="3">
        <f t="shared" si="16"/>
        <v>-3.4904237702147935E-2</v>
      </c>
      <c r="K97" s="10">
        <f>J97*2</f>
        <v>-6.9808475404295869E-2</v>
      </c>
    </row>
    <row r="98" spans="1:11" x14ac:dyDescent="0.35">
      <c r="A98" s="3"/>
      <c r="B98" s="8">
        <f>B93+D93</f>
        <v>1.2</v>
      </c>
      <c r="C98" s="4">
        <f>C93+D97</f>
        <v>0</v>
      </c>
      <c r="D98" s="4">
        <f t="shared" si="15"/>
        <v>0</v>
      </c>
      <c r="E98" s="10">
        <f>D98</f>
        <v>0</v>
      </c>
      <c r="F98" s="3"/>
      <c r="G98" s="3"/>
      <c r="H98" s="19">
        <f>H93+J93</f>
        <v>1.0999999999999999</v>
      </c>
      <c r="I98" s="4">
        <f>I93+J97</f>
        <v>0.35019102768758897</v>
      </c>
      <c r="J98" s="3">
        <f t="shared" si="16"/>
        <v>-3.3196989259290148E-2</v>
      </c>
      <c r="K98" s="10">
        <f>J98</f>
        <v>-3.3196989259290148E-2</v>
      </c>
    </row>
    <row r="99" spans="1:11" x14ac:dyDescent="0.35">
      <c r="A99" s="3"/>
      <c r="B99" s="14"/>
      <c r="C99" s="15"/>
      <c r="D99" s="15"/>
      <c r="E99" s="16">
        <f>SUM(E95:E98)*1/6</f>
        <v>0</v>
      </c>
      <c r="F99" s="3"/>
      <c r="G99" s="3"/>
      <c r="H99" s="23"/>
      <c r="I99" s="24"/>
      <c r="J99" s="24"/>
      <c r="K99" s="16">
        <f>SUM(K95:K98)*1/6</f>
        <v>-3.4923168453896453E-2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рунге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turci</dc:creator>
  <cp:lastModifiedBy>User</cp:lastModifiedBy>
  <dcterms:created xsi:type="dcterms:W3CDTF">2023-01-01T20:37:02Z</dcterms:created>
  <dcterms:modified xsi:type="dcterms:W3CDTF">2025-12-11T18:28:46Z</dcterms:modified>
</cp:coreProperties>
</file>