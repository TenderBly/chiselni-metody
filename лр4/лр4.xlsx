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moe nyshnoe\other\учеба\уник\чисельні методи\лр4\"/>
    </mc:Choice>
  </mc:AlternateContent>
  <xr:revisionPtr revIDLastSave="0" documentId="13_ncr:1_{A4B0A47C-1B9F-4135-8AA3-CE1D2040660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9" i="1" l="1"/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G36" i="1" s="1"/>
  <c r="E37" i="1"/>
  <c r="E38" i="1"/>
  <c r="E39" i="1"/>
  <c r="E40" i="1"/>
  <c r="E41" i="1"/>
  <c r="E42" i="1"/>
  <c r="E43" i="1"/>
  <c r="E44" i="1"/>
  <c r="E45" i="1"/>
  <c r="E46" i="1"/>
  <c r="D7" i="1"/>
  <c r="D8" i="1"/>
  <c r="D9" i="1"/>
  <c r="D10" i="1"/>
  <c r="D11" i="1"/>
  <c r="D12" i="1"/>
  <c r="D13" i="1"/>
  <c r="D14" i="1"/>
  <c r="G14" i="1" s="1"/>
  <c r="D15" i="1"/>
  <c r="D16" i="1"/>
  <c r="D17" i="1"/>
  <c r="D18" i="1"/>
  <c r="D19" i="1"/>
  <c r="D20" i="1"/>
  <c r="D21" i="1"/>
  <c r="D22" i="1"/>
  <c r="D23" i="1"/>
  <c r="D24" i="1"/>
  <c r="D25" i="1"/>
  <c r="D26" i="1"/>
  <c r="G26" i="1" s="1"/>
  <c r="D27" i="1"/>
  <c r="D28" i="1"/>
  <c r="D29" i="1"/>
  <c r="D30" i="1"/>
  <c r="D31" i="1"/>
  <c r="D32" i="1"/>
  <c r="D33" i="1"/>
  <c r="D34" i="1"/>
  <c r="D35" i="1"/>
  <c r="D36" i="1"/>
  <c r="D37" i="1"/>
  <c r="D38" i="1"/>
  <c r="G38" i="1" s="1"/>
  <c r="D39" i="1"/>
  <c r="D40" i="1"/>
  <c r="D41" i="1"/>
  <c r="D42" i="1"/>
  <c r="D43" i="1"/>
  <c r="D44" i="1"/>
  <c r="D45" i="1"/>
  <c r="D4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B7" i="1"/>
  <c r="G7" i="1" s="1"/>
  <c r="B8" i="1"/>
  <c r="G8" i="1" s="1"/>
  <c r="B9" i="1"/>
  <c r="B10" i="1"/>
  <c r="G10" i="1" s="1"/>
  <c r="B11" i="1"/>
  <c r="G11" i="1" s="1"/>
  <c r="B12" i="1"/>
  <c r="B13" i="1"/>
  <c r="B14" i="1"/>
  <c r="B15" i="1"/>
  <c r="B16" i="1"/>
  <c r="B17" i="1"/>
  <c r="B18" i="1"/>
  <c r="B19" i="1"/>
  <c r="G19" i="1" s="1"/>
  <c r="B20" i="1"/>
  <c r="G20" i="1" s="1"/>
  <c r="B21" i="1"/>
  <c r="B22" i="1"/>
  <c r="G22" i="1" s="1"/>
  <c r="B23" i="1"/>
  <c r="G23" i="1" s="1"/>
  <c r="B24" i="1"/>
  <c r="B25" i="1"/>
  <c r="B26" i="1"/>
  <c r="B27" i="1"/>
  <c r="B28" i="1"/>
  <c r="B29" i="1"/>
  <c r="B30" i="1"/>
  <c r="B31" i="1"/>
  <c r="G31" i="1" s="1"/>
  <c r="B32" i="1"/>
  <c r="B33" i="1"/>
  <c r="B34" i="1"/>
  <c r="G34" i="1" s="1"/>
  <c r="B35" i="1"/>
  <c r="G35" i="1" s="1"/>
  <c r="B36" i="1"/>
  <c r="B37" i="1"/>
  <c r="B38" i="1"/>
  <c r="B39" i="1"/>
  <c r="B40" i="1"/>
  <c r="B41" i="1"/>
  <c r="B42" i="1"/>
  <c r="B43" i="1"/>
  <c r="B44" i="1"/>
  <c r="G44" i="1" s="1"/>
  <c r="B45" i="1"/>
  <c r="B46" i="1"/>
  <c r="F6" i="1"/>
  <c r="E6" i="1"/>
  <c r="D6" i="1"/>
  <c r="C6" i="1"/>
  <c r="B6" i="1"/>
  <c r="G32" i="1" l="1"/>
  <c r="G42" i="1"/>
  <c r="G30" i="1"/>
  <c r="G18" i="1"/>
  <c r="G29" i="1"/>
  <c r="G17" i="1"/>
  <c r="G13" i="1"/>
  <c r="G37" i="1"/>
  <c r="G24" i="1"/>
  <c r="G12" i="1"/>
  <c r="G25" i="1"/>
  <c r="G43" i="1"/>
  <c r="G41" i="1"/>
  <c r="G16" i="1"/>
  <c r="G28" i="1"/>
  <c r="G6" i="1"/>
  <c r="G39" i="1"/>
  <c r="G27" i="1"/>
  <c r="G15" i="1"/>
  <c r="G40" i="1"/>
  <c r="G46" i="1"/>
  <c r="G45" i="1"/>
  <c r="G33" i="1"/>
  <c r="G21" i="1"/>
  <c r="G9" i="1"/>
</calcChain>
</file>

<file path=xl/sharedStrings.xml><?xml version="1.0" encoding="utf-8"?>
<sst xmlns="http://schemas.openxmlformats.org/spreadsheetml/2006/main" count="11" uniqueCount="11">
  <si>
    <t>i</t>
  </si>
  <si>
    <t>x</t>
  </si>
  <si>
    <t>y</t>
  </si>
  <si>
    <t>доданок 1</t>
  </si>
  <si>
    <t>доданок 2</t>
  </si>
  <si>
    <t>доданок 3</t>
  </si>
  <si>
    <t xml:space="preserve">доданок 4 </t>
  </si>
  <si>
    <t>доданок 5</t>
  </si>
  <si>
    <t>лагранж</t>
  </si>
  <si>
    <t>x*</t>
  </si>
  <si>
    <t>Y*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</si>
</sst>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right" vertical="center"/>
    </xf>
    <xf numFmtId="0" fontId="0" fillId="0" borderId="2" xfId="0" applyNumberFormat="1" applyBorder="1" applyAlignment="1">
      <alignment horizontal="right" vertical="center"/>
    </xf>
    <xf numFmtId="0" fontId="0" fillId="0" borderId="1" xfId="0" applyBorder="1"/>
    <xf numFmtId="0" fontId="0" fillId="0" borderId="0" xfId="0"/>
    <xf numFmtId="0" fontId="2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Лагранж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Аркуш1!$A$6:$A$46</c:f>
              <c:numCache>
                <c:formatCode>General</c:formatCode>
                <c:ptCount val="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</c:numCache>
            </c:numRef>
          </c:xVal>
          <c:yVal>
            <c:numRef>
              <c:f>Аркуш1!$G$6:$G$46</c:f>
              <c:numCache>
                <c:formatCode>General</c:formatCode>
                <c:ptCount val="41"/>
                <c:pt idx="0">
                  <c:v>4</c:v>
                </c:pt>
                <c:pt idx="1">
                  <c:v>4.1240000000000006</c:v>
                </c:pt>
                <c:pt idx="2">
                  <c:v>4.1120000000000001</c:v>
                </c:pt>
                <c:pt idx="3">
                  <c:v>3.9879999999999995</c:v>
                </c:pt>
                <c:pt idx="4">
                  <c:v>3.7760000000000007</c:v>
                </c:pt>
                <c:pt idx="5">
                  <c:v>3.5</c:v>
                </c:pt>
                <c:pt idx="6">
                  <c:v>3.1839999999999993</c:v>
                </c:pt>
                <c:pt idx="7">
                  <c:v>2.851999999999999</c:v>
                </c:pt>
                <c:pt idx="8">
                  <c:v>2.5280000000000005</c:v>
                </c:pt>
                <c:pt idx="9">
                  <c:v>2.2359999999999998</c:v>
                </c:pt>
                <c:pt idx="10">
                  <c:v>2</c:v>
                </c:pt>
                <c:pt idx="11">
                  <c:v>1.8439999999999999</c:v>
                </c:pt>
                <c:pt idx="12">
                  <c:v>1.7919999999999994</c:v>
                </c:pt>
                <c:pt idx="13">
                  <c:v>1.8679999999999986</c:v>
                </c:pt>
                <c:pt idx="14">
                  <c:v>2.0960000000000005</c:v>
                </c:pt>
                <c:pt idx="15">
                  <c:v>2.5</c:v>
                </c:pt>
                <c:pt idx="16">
                  <c:v>3.1039999999999996</c:v>
                </c:pt>
                <c:pt idx="17">
                  <c:v>3.9319999999999977</c:v>
                </c:pt>
                <c:pt idx="18">
                  <c:v>5.0080000000000009</c:v>
                </c:pt>
                <c:pt idx="19">
                  <c:v>6.3559999999999981</c:v>
                </c:pt>
                <c:pt idx="20">
                  <c:v>8</c:v>
                </c:pt>
                <c:pt idx="21">
                  <c:v>9.9640000000000022</c:v>
                </c:pt>
                <c:pt idx="22">
                  <c:v>12.272000000000004</c:v>
                </c:pt>
                <c:pt idx="23">
                  <c:v>14.947999999999993</c:v>
                </c:pt>
                <c:pt idx="24">
                  <c:v>18.015999999999991</c:v>
                </c:pt>
                <c:pt idx="25">
                  <c:v>21.5</c:v>
                </c:pt>
                <c:pt idx="26">
                  <c:v>25.424000000000007</c:v>
                </c:pt>
                <c:pt idx="27">
                  <c:v>29.812000000000012</c:v>
                </c:pt>
                <c:pt idx="28">
                  <c:v>34.687999999999988</c:v>
                </c:pt>
                <c:pt idx="29">
                  <c:v>40.076000000000001</c:v>
                </c:pt>
                <c:pt idx="30">
                  <c:v>46</c:v>
                </c:pt>
                <c:pt idx="31">
                  <c:v>52.483999999999995</c:v>
                </c:pt>
                <c:pt idx="32">
                  <c:v>59.552000000000021</c:v>
                </c:pt>
                <c:pt idx="33">
                  <c:v>67.22799999999998</c:v>
                </c:pt>
                <c:pt idx="34">
                  <c:v>75.535999999999987</c:v>
                </c:pt>
                <c:pt idx="35">
                  <c:v>84.5</c:v>
                </c:pt>
                <c:pt idx="36">
                  <c:v>94.144000000000005</c:v>
                </c:pt>
                <c:pt idx="37">
                  <c:v>104.49200000000002</c:v>
                </c:pt>
                <c:pt idx="38">
                  <c:v>115.568</c:v>
                </c:pt>
                <c:pt idx="39">
                  <c:v>127.396</c:v>
                </c:pt>
                <c:pt idx="40">
                  <c:v>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B0-409F-B436-3A88CF07B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554175"/>
        <c:axId val="481552255"/>
      </c:scatterChart>
      <c:valAx>
        <c:axId val="48155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552255"/>
        <c:crosses val="autoZero"/>
        <c:crossBetween val="midCat"/>
      </c:valAx>
      <c:valAx>
        <c:axId val="48155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554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323850</xdr:colOff>
      <xdr:row>39</xdr:row>
      <xdr:rowOff>142875</xdr:rowOff>
    </xdr:from>
    <xdr:to>
      <xdr:col>16</xdr:col>
      <xdr:colOff>304269</xdr:colOff>
      <xdr:row>44</xdr:row>
      <xdr:rowOff>66560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2F6A9EC-B0A5-5B70-9056-00FB6993C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8450" y="7572375"/>
          <a:ext cx="4247619" cy="923810"/>
        </a:xfrm>
        <a:prstGeom prst="rect">
          <a:avLst/>
        </a:prstGeom>
      </xdr:spPr>
    </xdr:pic>
    <xdr:clientData/>
  </xdr:twoCellAnchor>
  <xdr:twoCellAnchor>
    <xdr:from>
      <xdr:col>8</xdr:col>
      <xdr:colOff>542925</xdr:colOff>
      <xdr:row>16</xdr:row>
      <xdr:rowOff>85725</xdr:rowOff>
    </xdr:from>
    <xdr:to>
      <xdr:col>16</xdr:col>
      <xdr:colOff>238125</xdr:colOff>
      <xdr:row>30</xdr:row>
      <xdr:rowOff>161925</xdr:rowOff>
    </xdr:to>
    <xdr:graphicFrame macro="">
      <xdr:nvGraphicFramePr>
        <xdr:cNvPr id="7" name="Діаграма 6">
          <a:extLst>
            <a:ext uri="{FF2B5EF4-FFF2-40B4-BE49-F238E27FC236}">
              <a16:creationId xmlns:a16="http://schemas.microsoft.com/office/drawing/2014/main" id="{68DE0782-F81E-5E42-71BE-EBD91C27A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152400</xdr:colOff>
      <xdr:row>1</xdr:row>
      <xdr:rowOff>9525</xdr:rowOff>
    </xdr:from>
    <xdr:to>
      <xdr:col>15</xdr:col>
      <xdr:colOff>304248</xdr:colOff>
      <xdr:row>3</xdr:row>
      <xdr:rowOff>9477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819AE3B-82FE-4EB9-A5F8-C837F66F5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38875" y="200025"/>
          <a:ext cx="4419048" cy="3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zoomScaleNormal="100" workbookViewId="0">
      <selection activeCell="H11" sqref="H11"/>
    </sheetView>
  </sheetViews>
  <sheetFormatPr defaultRowHeight="15" x14ac:dyDescent="0.25"/>
  <cols>
    <col min="2" max="3" width="12.5703125" bestFit="1" customWidth="1"/>
    <col min="4" max="4" width="12.28515625" customWidth="1"/>
    <col min="5" max="5" width="11.7109375" customWidth="1"/>
    <col min="6" max="6" width="14.7109375" bestFit="1" customWidth="1"/>
  </cols>
  <sheetData>
    <row r="1" spans="1:1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</row>
    <row r="2" spans="1:11" x14ac:dyDescent="0.25">
      <c r="A2" t="s">
        <v>1</v>
      </c>
      <c r="B2">
        <v>0</v>
      </c>
      <c r="C2">
        <v>1</v>
      </c>
      <c r="D2">
        <v>2</v>
      </c>
      <c r="E2">
        <v>3</v>
      </c>
      <c r="F2">
        <v>4</v>
      </c>
    </row>
    <row r="3" spans="1:11" x14ac:dyDescent="0.25">
      <c r="A3" t="s">
        <v>2</v>
      </c>
      <c r="B3">
        <v>4</v>
      </c>
      <c r="C3">
        <v>2</v>
      </c>
      <c r="D3">
        <v>8</v>
      </c>
      <c r="E3">
        <v>46</v>
      </c>
      <c r="F3">
        <v>140</v>
      </c>
    </row>
    <row r="5" spans="1:11" ht="15.75" thickBot="1" x14ac:dyDescent="0.3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11" ht="15.75" thickBot="1" x14ac:dyDescent="0.3">
      <c r="A6" s="4">
        <v>0</v>
      </c>
      <c r="B6" s="5">
        <f>$B$3*(A6-$C$2)*(A6-$D$2)*(A6-$E$2)*(A6-$F$2)/(($B$2-$C$2)*($B$2-$D$2)*($B$2-$E$2)*($B$2-$F$2))</f>
        <v>4</v>
      </c>
      <c r="C6" s="5">
        <f>$C$3*(A6-$B$2)*(A6-$D$2)*(A6-$E$2)*(A6-$F$2)/(($C$2-$B$2)*($C$2-$D$2)*($C$2-$E$2)*($C$2-$F$2))</f>
        <v>0</v>
      </c>
      <c r="D6" s="5">
        <f>$D$3*(A6-$B$2)*(A6-$C$2)*(A6-$E$2)*(A6-$F$2)/(($D$2-$B$2)*($D$2-$C$2)*($D$2-$E$2)*($D$2-$F$2))</f>
        <v>0</v>
      </c>
      <c r="E6" s="5">
        <f>$E$3*(A6-$B$2)*(A6-$C$2)*(A6-$D$2)*(A6-$F$2)/(($E$2-$B$2)*($E$2-$C$2)*($E$2-$D$2)*($E$2-$F$2))</f>
        <v>0</v>
      </c>
      <c r="F6" s="5">
        <f>$F$3*(A6-$B$2)*(A6-$C$2)*(A6-$D$2)*(A6-$E$2)/(($F$2-$B$2)*($F$2-$C$2)*($F$2-$D$2)*($F$2-$E$2))</f>
        <v>0</v>
      </c>
      <c r="G6" s="5">
        <f>SUM(B6:F6)</f>
        <v>4</v>
      </c>
    </row>
    <row r="7" spans="1:11" ht="15.75" thickBot="1" x14ac:dyDescent="0.3">
      <c r="A7" s="3">
        <v>0.1</v>
      </c>
      <c r="B7">
        <f t="shared" ref="B7:B46" si="0">$B$3*(A7-$C$2)*(A7-$D$2)*(A7-$E$2)*(A7-$F$2)/(($B$2-$C$2)*($B$2-$D$2)*($B$2-$E$2)*($B$2-$F$2))</f>
        <v>3.2233499999999999</v>
      </c>
      <c r="C7">
        <f t="shared" ref="C7:C46" si="1">$C$3*(A7-$B$2)*(A7-$D$2)*(A7-$E$2)*(A7-$F$2)/(($C$2-$B$2)*($C$2-$D$2)*($C$2-$E$2)*($C$2-$F$2))</f>
        <v>0.71629999999999994</v>
      </c>
      <c r="D7">
        <f t="shared" ref="D7:D46" si="2">$D$3*(A7-$B$2)*(A7-$C$2)*(A7-$E$2)*(A7-$F$2)/(($D$2-$B$2)*($D$2-$C$2)*($D$2-$E$2)*($D$2-$F$2))</f>
        <v>-2.0358000000000001</v>
      </c>
      <c r="E7">
        <f t="shared" ref="E7:E46" si="3">$E$3*(A7-$B$2)*(A7-$C$2)*(A7-$D$2)*(A7-$F$2)/(($E$2-$B$2)*($E$2-$C$2)*($E$2-$D$2)*($E$2-$F$2))</f>
        <v>5.1129000000000007</v>
      </c>
      <c r="F7">
        <f t="shared" ref="F7:F46" si="4">$F$3*(A7-$B$2)*(A7-$C$2)*(A7-$D$2)*(A7-$E$2)/(($F$2-$B$2)*($F$2-$C$2)*($F$2-$D$2)*($F$2-$E$2))</f>
        <v>-2.8927499999999995</v>
      </c>
      <c r="G7">
        <f t="shared" ref="G7:G46" si="5">SUM(B7:F7)</f>
        <v>4.1240000000000006</v>
      </c>
    </row>
    <row r="8" spans="1:11" ht="15.75" thickBot="1" x14ac:dyDescent="0.3">
      <c r="A8" s="3">
        <v>0.2</v>
      </c>
      <c r="B8">
        <f t="shared" si="0"/>
        <v>2.5535999999999999</v>
      </c>
      <c r="C8">
        <f t="shared" si="1"/>
        <v>1.2767999999999999</v>
      </c>
      <c r="D8">
        <f t="shared" si="2"/>
        <v>-3.4048000000000003</v>
      </c>
      <c r="E8">
        <f t="shared" si="3"/>
        <v>8.3904000000000014</v>
      </c>
      <c r="F8">
        <f t="shared" si="4"/>
        <v>-4.7040000000000006</v>
      </c>
      <c r="G8">
        <f t="shared" si="5"/>
        <v>4.1120000000000001</v>
      </c>
      <c r="J8" s="6" t="s">
        <v>9</v>
      </c>
      <c r="K8" s="6">
        <v>0.7</v>
      </c>
    </row>
    <row r="9" spans="1:11" ht="15.75" thickBot="1" x14ac:dyDescent="0.3">
      <c r="A9" s="3">
        <v>0.3</v>
      </c>
      <c r="B9">
        <f t="shared" si="0"/>
        <v>1.9813500000000002</v>
      </c>
      <c r="C9">
        <f t="shared" si="1"/>
        <v>1.6983000000000004</v>
      </c>
      <c r="D9">
        <f t="shared" si="2"/>
        <v>-4.1958000000000011</v>
      </c>
      <c r="E9">
        <f t="shared" si="3"/>
        <v>10.126899999999999</v>
      </c>
      <c r="F9">
        <f t="shared" si="4"/>
        <v>-5.6227499999999999</v>
      </c>
      <c r="G9">
        <f t="shared" si="5"/>
        <v>3.9879999999999995</v>
      </c>
      <c r="J9" s="6" t="s">
        <v>10</v>
      </c>
      <c r="K9" s="6">
        <f>G23</f>
        <v>3.9319999999999977</v>
      </c>
    </row>
    <row r="10" spans="1:11" ht="15.75" thickBot="1" x14ac:dyDescent="0.3">
      <c r="A10" s="3">
        <v>0.4</v>
      </c>
      <c r="B10">
        <f t="shared" si="0"/>
        <v>1.4976</v>
      </c>
      <c r="C10">
        <f t="shared" si="1"/>
        <v>1.9968000000000004</v>
      </c>
      <c r="D10">
        <f t="shared" si="2"/>
        <v>-4.4927999999999999</v>
      </c>
      <c r="E10">
        <f t="shared" si="3"/>
        <v>10.598400000000002</v>
      </c>
      <c r="F10">
        <f t="shared" si="4"/>
        <v>-5.8240000000000007</v>
      </c>
      <c r="G10">
        <f t="shared" si="5"/>
        <v>3.7760000000000007</v>
      </c>
    </row>
    <row r="11" spans="1:11" ht="15.75" thickBot="1" x14ac:dyDescent="0.3">
      <c r="A11" s="3">
        <v>0.5</v>
      </c>
      <c r="B11">
        <f t="shared" si="0"/>
        <v>1.09375</v>
      </c>
      <c r="C11">
        <f t="shared" si="1"/>
        <v>2.1875</v>
      </c>
      <c r="D11">
        <f t="shared" si="2"/>
        <v>-4.375</v>
      </c>
      <c r="E11">
        <f t="shared" si="3"/>
        <v>10.0625</v>
      </c>
      <c r="F11">
        <f t="shared" si="4"/>
        <v>-5.46875</v>
      </c>
      <c r="G11">
        <f t="shared" si="5"/>
        <v>3.5</v>
      </c>
    </row>
    <row r="12" spans="1:11" ht="15.75" thickBot="1" x14ac:dyDescent="0.3">
      <c r="A12" s="3">
        <v>0.6</v>
      </c>
      <c r="B12">
        <f t="shared" si="0"/>
        <v>0.76159999999999994</v>
      </c>
      <c r="C12">
        <f t="shared" si="1"/>
        <v>2.2848000000000002</v>
      </c>
      <c r="D12">
        <f t="shared" si="2"/>
        <v>-3.9167999999999994</v>
      </c>
      <c r="E12">
        <f t="shared" si="3"/>
        <v>8.7583999999999982</v>
      </c>
      <c r="F12">
        <f t="shared" si="4"/>
        <v>-4.7039999999999997</v>
      </c>
      <c r="G12">
        <f t="shared" si="5"/>
        <v>3.1839999999999993</v>
      </c>
    </row>
    <row r="13" spans="1:11" ht="15.75" thickBot="1" x14ac:dyDescent="0.3">
      <c r="A13" s="3">
        <v>0.7</v>
      </c>
      <c r="B13">
        <f t="shared" si="0"/>
        <v>0.49335000000000001</v>
      </c>
      <c r="C13">
        <f t="shared" si="1"/>
        <v>2.3022999999999993</v>
      </c>
      <c r="D13">
        <f t="shared" si="2"/>
        <v>-3.1877999999999997</v>
      </c>
      <c r="E13">
        <f t="shared" si="3"/>
        <v>6.9068999999999994</v>
      </c>
      <c r="F13">
        <f t="shared" si="4"/>
        <v>-3.6627500000000004</v>
      </c>
      <c r="G13">
        <f t="shared" si="5"/>
        <v>2.851999999999999</v>
      </c>
    </row>
    <row r="14" spans="1:11" ht="15.75" thickBot="1" x14ac:dyDescent="0.3">
      <c r="A14" s="3">
        <v>0.8</v>
      </c>
      <c r="B14">
        <f t="shared" si="0"/>
        <v>0.28159999999999996</v>
      </c>
      <c r="C14">
        <f t="shared" si="1"/>
        <v>2.2528000000000001</v>
      </c>
      <c r="D14">
        <f t="shared" si="2"/>
        <v>-2.2528000000000001</v>
      </c>
      <c r="E14">
        <f t="shared" si="3"/>
        <v>4.7103999999999999</v>
      </c>
      <c r="F14">
        <f t="shared" si="4"/>
        <v>-2.4639999999999995</v>
      </c>
      <c r="G14">
        <f t="shared" si="5"/>
        <v>2.5280000000000005</v>
      </c>
    </row>
    <row r="15" spans="1:11" ht="15.75" thickBot="1" x14ac:dyDescent="0.3">
      <c r="A15" s="3">
        <v>0.9</v>
      </c>
      <c r="B15">
        <f t="shared" si="0"/>
        <v>0.11935</v>
      </c>
      <c r="C15">
        <f t="shared" si="1"/>
        <v>2.1483000000000003</v>
      </c>
      <c r="D15">
        <f t="shared" si="2"/>
        <v>-1.1718</v>
      </c>
      <c r="E15">
        <f t="shared" si="3"/>
        <v>2.3528999999999995</v>
      </c>
      <c r="F15">
        <f t="shared" si="4"/>
        <v>-1.21275</v>
      </c>
      <c r="G15">
        <f t="shared" si="5"/>
        <v>2.2359999999999998</v>
      </c>
    </row>
    <row r="16" spans="1:11" ht="15.75" thickBot="1" x14ac:dyDescent="0.3">
      <c r="A16" s="3">
        <v>1</v>
      </c>
      <c r="B16">
        <f t="shared" si="0"/>
        <v>0</v>
      </c>
      <c r="C16">
        <f t="shared" si="1"/>
        <v>2</v>
      </c>
      <c r="D16">
        <f t="shared" si="2"/>
        <v>0</v>
      </c>
      <c r="E16">
        <f t="shared" si="3"/>
        <v>0</v>
      </c>
      <c r="F16">
        <f t="shared" si="4"/>
        <v>0</v>
      </c>
      <c r="G16">
        <f t="shared" si="5"/>
        <v>2</v>
      </c>
    </row>
    <row r="17" spans="1:7" ht="15.75" thickBot="1" x14ac:dyDescent="0.3">
      <c r="A17" s="3">
        <v>1.1000000000000001</v>
      </c>
      <c r="B17">
        <f t="shared" si="0"/>
        <v>-8.2650000000000057E-2</v>
      </c>
      <c r="C17">
        <f t="shared" si="1"/>
        <v>1.8182999999999998</v>
      </c>
      <c r="D17">
        <f t="shared" si="2"/>
        <v>1.2122000000000013</v>
      </c>
      <c r="E17">
        <f t="shared" si="3"/>
        <v>-2.2011000000000016</v>
      </c>
      <c r="F17">
        <f t="shared" si="4"/>
        <v>1.0972500000000007</v>
      </c>
      <c r="G17">
        <f t="shared" si="5"/>
        <v>1.8439999999999999</v>
      </c>
    </row>
    <row r="18" spans="1:7" ht="15.75" thickBot="1" x14ac:dyDescent="0.3">
      <c r="A18" s="3">
        <v>1.2</v>
      </c>
      <c r="B18">
        <f t="shared" si="0"/>
        <v>-0.13439999999999999</v>
      </c>
      <c r="C18">
        <f t="shared" si="1"/>
        <v>1.6128</v>
      </c>
      <c r="D18">
        <f t="shared" si="2"/>
        <v>2.4191999999999991</v>
      </c>
      <c r="E18">
        <f t="shared" si="3"/>
        <v>-4.121599999999999</v>
      </c>
      <c r="F18">
        <f t="shared" si="4"/>
        <v>2.0159999999999996</v>
      </c>
      <c r="G18">
        <f t="shared" si="5"/>
        <v>1.7919999999999994</v>
      </c>
    </row>
    <row r="19" spans="1:7" ht="15.75" thickBot="1" x14ac:dyDescent="0.3">
      <c r="A19" s="3">
        <v>1.3</v>
      </c>
      <c r="B19">
        <f t="shared" si="0"/>
        <v>-0.16065000000000004</v>
      </c>
      <c r="C19">
        <f t="shared" si="1"/>
        <v>1.3922999999999999</v>
      </c>
      <c r="D19">
        <f t="shared" si="2"/>
        <v>3.5802000000000009</v>
      </c>
      <c r="E19">
        <f t="shared" si="3"/>
        <v>-5.6511000000000022</v>
      </c>
      <c r="F19">
        <f t="shared" si="4"/>
        <v>2.7072500000000002</v>
      </c>
      <c r="G19">
        <f t="shared" si="5"/>
        <v>1.8679999999999986</v>
      </c>
    </row>
    <row r="20" spans="1:7" ht="15.75" thickBot="1" x14ac:dyDescent="0.3">
      <c r="A20" s="3">
        <v>1.4</v>
      </c>
      <c r="B20">
        <f t="shared" si="0"/>
        <v>-0.16640000000000002</v>
      </c>
      <c r="C20">
        <f t="shared" si="1"/>
        <v>1.1648000000000003</v>
      </c>
      <c r="D20">
        <f t="shared" si="2"/>
        <v>4.6591999999999993</v>
      </c>
      <c r="E20">
        <f t="shared" si="3"/>
        <v>-6.6975999999999987</v>
      </c>
      <c r="F20">
        <f t="shared" si="4"/>
        <v>3.1359999999999997</v>
      </c>
      <c r="G20">
        <f t="shared" si="5"/>
        <v>2.0960000000000005</v>
      </c>
    </row>
    <row r="21" spans="1:7" ht="15.75" thickBot="1" x14ac:dyDescent="0.3">
      <c r="A21" s="3">
        <v>1.5</v>
      </c>
      <c r="B21">
        <f t="shared" si="0"/>
        <v>-0.15625</v>
      </c>
      <c r="C21">
        <f t="shared" si="1"/>
        <v>0.9375</v>
      </c>
      <c r="D21">
        <f t="shared" si="2"/>
        <v>5.625</v>
      </c>
      <c r="E21">
        <f t="shared" si="3"/>
        <v>-7.1875</v>
      </c>
      <c r="F21">
        <f t="shared" si="4"/>
        <v>3.28125</v>
      </c>
      <c r="G21">
        <f t="shared" si="5"/>
        <v>2.5</v>
      </c>
    </row>
    <row r="22" spans="1:7" ht="15.75" thickBot="1" x14ac:dyDescent="0.3">
      <c r="A22" s="3">
        <v>1.6</v>
      </c>
      <c r="B22">
        <f t="shared" si="0"/>
        <v>-0.13439999999999999</v>
      </c>
      <c r="C22">
        <f t="shared" si="1"/>
        <v>0.71679999999999977</v>
      </c>
      <c r="D22">
        <f t="shared" si="2"/>
        <v>6.4512</v>
      </c>
      <c r="E22">
        <f t="shared" si="3"/>
        <v>-7.0655999999999999</v>
      </c>
      <c r="F22">
        <f t="shared" si="4"/>
        <v>3.1359999999999997</v>
      </c>
      <c r="G22">
        <f t="shared" si="5"/>
        <v>3.1039999999999996</v>
      </c>
    </row>
    <row r="23" spans="1:7" ht="15.75" thickBot="1" x14ac:dyDescent="0.3">
      <c r="A23" s="3">
        <v>1.7</v>
      </c>
      <c r="B23">
        <f t="shared" si="0"/>
        <v>-0.10465000000000001</v>
      </c>
      <c r="C23">
        <f t="shared" si="1"/>
        <v>0.50829999999999997</v>
      </c>
      <c r="D23">
        <f t="shared" si="2"/>
        <v>7.1161999999999992</v>
      </c>
      <c r="E23">
        <f t="shared" si="3"/>
        <v>-6.2951000000000015</v>
      </c>
      <c r="F23">
        <f t="shared" si="4"/>
        <v>2.7072500000000002</v>
      </c>
      <c r="G23" s="7">
        <f t="shared" si="5"/>
        <v>3.9319999999999977</v>
      </c>
    </row>
    <row r="24" spans="1:7" ht="15.75" thickBot="1" x14ac:dyDescent="0.3">
      <c r="A24" s="3">
        <v>1.8</v>
      </c>
      <c r="B24">
        <f t="shared" si="0"/>
        <v>-7.0400000000000004E-2</v>
      </c>
      <c r="C24">
        <f t="shared" si="1"/>
        <v>0.31679999999999992</v>
      </c>
      <c r="D24">
        <f t="shared" si="2"/>
        <v>7.6032000000000011</v>
      </c>
      <c r="E24">
        <f t="shared" si="3"/>
        <v>-4.8575999999999988</v>
      </c>
      <c r="F24">
        <f t="shared" si="4"/>
        <v>2.0159999999999996</v>
      </c>
      <c r="G24">
        <f t="shared" si="5"/>
        <v>5.0080000000000009</v>
      </c>
    </row>
    <row r="25" spans="1:7" ht="15.75" thickBot="1" x14ac:dyDescent="0.3">
      <c r="A25" s="3">
        <v>1.9</v>
      </c>
      <c r="B25">
        <f t="shared" si="0"/>
        <v>-3.4650000000000028E-2</v>
      </c>
      <c r="C25">
        <f t="shared" si="1"/>
        <v>0.14630000000000015</v>
      </c>
      <c r="D25">
        <f t="shared" si="2"/>
        <v>7.900199999999999</v>
      </c>
      <c r="E25">
        <f t="shared" si="3"/>
        <v>-2.7531000000000017</v>
      </c>
      <c r="F25">
        <f t="shared" si="4"/>
        <v>1.0972500000000009</v>
      </c>
      <c r="G25">
        <f t="shared" si="5"/>
        <v>6.3559999999999981</v>
      </c>
    </row>
    <row r="26" spans="1:7" ht="15.75" thickBot="1" x14ac:dyDescent="0.3">
      <c r="A26" s="3">
        <v>2</v>
      </c>
      <c r="B26">
        <f t="shared" si="0"/>
        <v>0</v>
      </c>
      <c r="C26">
        <f t="shared" si="1"/>
        <v>0</v>
      </c>
      <c r="D26">
        <f t="shared" si="2"/>
        <v>8</v>
      </c>
      <c r="E26">
        <f t="shared" si="3"/>
        <v>0</v>
      </c>
      <c r="F26">
        <f t="shared" si="4"/>
        <v>0</v>
      </c>
      <c r="G26">
        <f t="shared" si="5"/>
        <v>8</v>
      </c>
    </row>
    <row r="27" spans="1:7" ht="15.75" thickBot="1" x14ac:dyDescent="0.3">
      <c r="A27" s="3">
        <v>2.1</v>
      </c>
      <c r="B27">
        <f t="shared" si="0"/>
        <v>3.1350000000000024E-2</v>
      </c>
      <c r="C27">
        <f t="shared" si="1"/>
        <v>-0.11970000000000008</v>
      </c>
      <c r="D27">
        <f t="shared" si="2"/>
        <v>7.9001999999999999</v>
      </c>
      <c r="E27">
        <f t="shared" si="3"/>
        <v>3.3649000000000036</v>
      </c>
      <c r="F27">
        <f t="shared" si="4"/>
        <v>-1.2127500000000011</v>
      </c>
      <c r="G27">
        <f t="shared" si="5"/>
        <v>9.9640000000000022</v>
      </c>
    </row>
    <row r="28" spans="1:7" ht="15.75" thickBot="1" x14ac:dyDescent="0.3">
      <c r="A28" s="3">
        <v>2.2000000000000002</v>
      </c>
      <c r="B28">
        <f t="shared" si="0"/>
        <v>5.760000000000004E-2</v>
      </c>
      <c r="C28">
        <f t="shared" si="1"/>
        <v>-0.21120000000000014</v>
      </c>
      <c r="D28">
        <f t="shared" si="2"/>
        <v>7.6031999999999993</v>
      </c>
      <c r="E28">
        <f t="shared" si="3"/>
        <v>7.2864000000000066</v>
      </c>
      <c r="F28">
        <f t="shared" si="4"/>
        <v>-2.4640000000000026</v>
      </c>
      <c r="G28">
        <f t="shared" si="5"/>
        <v>12.272000000000004</v>
      </c>
    </row>
    <row r="29" spans="1:7" ht="15.75" thickBot="1" x14ac:dyDescent="0.3">
      <c r="A29" s="3">
        <v>2.2999999999999998</v>
      </c>
      <c r="B29">
        <f t="shared" si="0"/>
        <v>7.7349999999999988E-2</v>
      </c>
      <c r="C29">
        <f t="shared" si="1"/>
        <v>-0.27369999999999989</v>
      </c>
      <c r="D29">
        <f t="shared" si="2"/>
        <v>7.116200000000001</v>
      </c>
      <c r="E29">
        <f t="shared" si="3"/>
        <v>11.690899999999992</v>
      </c>
      <c r="F29">
        <f t="shared" si="4"/>
        <v>-3.6627499999999986</v>
      </c>
      <c r="G29">
        <f t="shared" si="5"/>
        <v>14.947999999999993</v>
      </c>
    </row>
    <row r="30" spans="1:7" ht="15.75" thickBot="1" x14ac:dyDescent="0.3">
      <c r="A30" s="3">
        <v>2.4</v>
      </c>
      <c r="B30">
        <f t="shared" si="0"/>
        <v>8.9599999999999999E-2</v>
      </c>
      <c r="C30">
        <f t="shared" si="1"/>
        <v>-0.30719999999999997</v>
      </c>
      <c r="D30">
        <f t="shared" si="2"/>
        <v>6.4512</v>
      </c>
      <c r="E30">
        <f t="shared" si="3"/>
        <v>16.486399999999993</v>
      </c>
      <c r="F30">
        <f t="shared" si="4"/>
        <v>-4.7039999999999997</v>
      </c>
      <c r="G30">
        <f t="shared" si="5"/>
        <v>18.015999999999991</v>
      </c>
    </row>
    <row r="31" spans="1:7" ht="15.75" thickBot="1" x14ac:dyDescent="0.3">
      <c r="A31" s="3">
        <v>2.5</v>
      </c>
      <c r="B31">
        <f t="shared" si="0"/>
        <v>9.375E-2</v>
      </c>
      <c r="C31">
        <f t="shared" si="1"/>
        <v>-0.3125</v>
      </c>
      <c r="D31">
        <f t="shared" si="2"/>
        <v>5.625</v>
      </c>
      <c r="E31">
        <f t="shared" si="3"/>
        <v>21.5625</v>
      </c>
      <c r="F31">
        <f t="shared" si="4"/>
        <v>-5.46875</v>
      </c>
      <c r="G31">
        <f t="shared" si="5"/>
        <v>21.5</v>
      </c>
    </row>
    <row r="32" spans="1:7" ht="15.75" thickBot="1" x14ac:dyDescent="0.3">
      <c r="A32" s="3">
        <v>2.6</v>
      </c>
      <c r="B32">
        <f t="shared" si="0"/>
        <v>8.9599999999999999E-2</v>
      </c>
      <c r="C32">
        <f t="shared" si="1"/>
        <v>-0.29119999999999996</v>
      </c>
      <c r="D32">
        <f t="shared" si="2"/>
        <v>4.6591999999999985</v>
      </c>
      <c r="E32">
        <f t="shared" si="3"/>
        <v>26.790400000000005</v>
      </c>
      <c r="F32">
        <f t="shared" si="4"/>
        <v>-5.823999999999999</v>
      </c>
      <c r="G32">
        <f t="shared" si="5"/>
        <v>25.424000000000007</v>
      </c>
    </row>
    <row r="33" spans="1:7" ht="15.75" thickBot="1" x14ac:dyDescent="0.3">
      <c r="A33" s="3">
        <v>2.7</v>
      </c>
      <c r="B33">
        <f t="shared" si="0"/>
        <v>7.7349999999999974E-2</v>
      </c>
      <c r="C33">
        <f t="shared" si="1"/>
        <v>-0.24569999999999989</v>
      </c>
      <c r="D33">
        <f t="shared" si="2"/>
        <v>3.5801999999999978</v>
      </c>
      <c r="E33">
        <f t="shared" si="3"/>
        <v>32.022900000000007</v>
      </c>
      <c r="F33">
        <f t="shared" si="4"/>
        <v>-5.6227499999999973</v>
      </c>
      <c r="G33">
        <f t="shared" si="5"/>
        <v>29.812000000000012</v>
      </c>
    </row>
    <row r="34" spans="1:7" ht="15.75" thickBot="1" x14ac:dyDescent="0.3">
      <c r="A34" s="3">
        <v>2.8</v>
      </c>
      <c r="B34">
        <f t="shared" si="0"/>
        <v>5.760000000000004E-2</v>
      </c>
      <c r="C34">
        <f t="shared" si="1"/>
        <v>-0.17920000000000014</v>
      </c>
      <c r="D34">
        <f t="shared" si="2"/>
        <v>2.4192000000000018</v>
      </c>
      <c r="E34">
        <f t="shared" si="3"/>
        <v>37.094399999999986</v>
      </c>
      <c r="F34">
        <f t="shared" si="4"/>
        <v>-4.7040000000000024</v>
      </c>
      <c r="G34">
        <f t="shared" si="5"/>
        <v>34.687999999999988</v>
      </c>
    </row>
    <row r="35" spans="1:7" ht="15.75" thickBot="1" x14ac:dyDescent="0.3">
      <c r="A35" s="3">
        <v>2.9</v>
      </c>
      <c r="B35">
        <f t="shared" si="0"/>
        <v>3.1350000000000024E-2</v>
      </c>
      <c r="C35">
        <f t="shared" si="1"/>
        <v>-9.5700000000000104E-2</v>
      </c>
      <c r="D35">
        <f t="shared" si="2"/>
        <v>1.2122000000000013</v>
      </c>
      <c r="E35">
        <f t="shared" si="3"/>
        <v>41.820900000000002</v>
      </c>
      <c r="F35">
        <f t="shared" si="4"/>
        <v>-2.8927500000000017</v>
      </c>
      <c r="G35">
        <f t="shared" si="5"/>
        <v>40.076000000000001</v>
      </c>
    </row>
    <row r="36" spans="1:7" ht="15.75" thickBot="1" x14ac:dyDescent="0.3">
      <c r="A36" s="3">
        <v>3</v>
      </c>
      <c r="B36">
        <f t="shared" si="0"/>
        <v>0</v>
      </c>
      <c r="C36">
        <f t="shared" si="1"/>
        <v>0</v>
      </c>
      <c r="D36">
        <f t="shared" si="2"/>
        <v>0</v>
      </c>
      <c r="E36">
        <f t="shared" si="3"/>
        <v>46</v>
      </c>
      <c r="F36">
        <f t="shared" si="4"/>
        <v>0</v>
      </c>
      <c r="G36">
        <f t="shared" si="5"/>
        <v>46</v>
      </c>
    </row>
    <row r="37" spans="1:7" ht="15.75" thickBot="1" x14ac:dyDescent="0.3">
      <c r="A37" s="3">
        <v>3.1</v>
      </c>
      <c r="B37">
        <f t="shared" si="0"/>
        <v>-3.4650000000000035E-2</v>
      </c>
      <c r="C37">
        <f t="shared" si="1"/>
        <v>0.1023000000000001</v>
      </c>
      <c r="D37">
        <f t="shared" si="2"/>
        <v>-1.1718000000000011</v>
      </c>
      <c r="E37">
        <f t="shared" si="3"/>
        <v>49.410899999999998</v>
      </c>
      <c r="F37">
        <f t="shared" si="4"/>
        <v>4.1772500000000043</v>
      </c>
      <c r="G37">
        <f t="shared" si="5"/>
        <v>52.483999999999995</v>
      </c>
    </row>
    <row r="38" spans="1:7" ht="15.75" thickBot="1" x14ac:dyDescent="0.3">
      <c r="A38" s="3">
        <v>3.2</v>
      </c>
      <c r="B38">
        <f t="shared" si="0"/>
        <v>-7.040000000000006E-2</v>
      </c>
      <c r="C38">
        <f t="shared" si="1"/>
        <v>0.20480000000000018</v>
      </c>
      <c r="D38">
        <f t="shared" si="2"/>
        <v>-2.2528000000000019</v>
      </c>
      <c r="E38">
        <f t="shared" si="3"/>
        <v>51.814400000000013</v>
      </c>
      <c r="F38">
        <f t="shared" si="4"/>
        <v>9.8560000000000105</v>
      </c>
      <c r="G38">
        <f t="shared" si="5"/>
        <v>59.552000000000021</v>
      </c>
    </row>
    <row r="39" spans="1:7" ht="15.75" thickBot="1" x14ac:dyDescent="0.3">
      <c r="A39" s="3">
        <v>3.3</v>
      </c>
      <c r="B39">
        <f t="shared" si="0"/>
        <v>-0.10464999999999995</v>
      </c>
      <c r="C39">
        <f t="shared" si="1"/>
        <v>0.30029999999999984</v>
      </c>
      <c r="D39">
        <f t="shared" si="2"/>
        <v>-3.1877999999999984</v>
      </c>
      <c r="E39">
        <f t="shared" si="3"/>
        <v>52.952899999999993</v>
      </c>
      <c r="F39">
        <f t="shared" si="4"/>
        <v>17.267249999999986</v>
      </c>
      <c r="G39">
        <f t="shared" si="5"/>
        <v>67.22799999999998</v>
      </c>
    </row>
    <row r="40" spans="1:7" ht="15.75" thickBot="1" x14ac:dyDescent="0.3">
      <c r="A40" s="3">
        <v>3.4</v>
      </c>
      <c r="B40">
        <f t="shared" si="0"/>
        <v>-0.13439999999999999</v>
      </c>
      <c r="C40">
        <f t="shared" si="1"/>
        <v>0.38079999999999997</v>
      </c>
      <c r="D40">
        <f t="shared" si="2"/>
        <v>-3.9167999999999998</v>
      </c>
      <c r="E40">
        <f t="shared" si="3"/>
        <v>52.550400000000003</v>
      </c>
      <c r="F40">
        <f t="shared" si="4"/>
        <v>26.655999999999988</v>
      </c>
      <c r="G40">
        <f t="shared" si="5"/>
        <v>75.535999999999987</v>
      </c>
    </row>
    <row r="41" spans="1:7" ht="15.75" thickBot="1" x14ac:dyDescent="0.3">
      <c r="A41" s="3">
        <v>3.5</v>
      </c>
      <c r="B41">
        <f t="shared" si="0"/>
        <v>-0.15625</v>
      </c>
      <c r="C41">
        <f t="shared" si="1"/>
        <v>0.4375</v>
      </c>
      <c r="D41">
        <f t="shared" si="2"/>
        <v>-4.375</v>
      </c>
      <c r="E41">
        <f t="shared" si="3"/>
        <v>50.3125</v>
      </c>
      <c r="F41">
        <f t="shared" si="4"/>
        <v>38.28125</v>
      </c>
      <c r="G41">
        <f t="shared" si="5"/>
        <v>84.5</v>
      </c>
    </row>
    <row r="42" spans="1:7" ht="15.75" thickBot="1" x14ac:dyDescent="0.3">
      <c r="A42" s="3">
        <v>3.6</v>
      </c>
      <c r="B42">
        <f t="shared" si="0"/>
        <v>-0.16639999999999999</v>
      </c>
      <c r="C42">
        <f t="shared" si="1"/>
        <v>0.46080000000000004</v>
      </c>
      <c r="D42">
        <f t="shared" si="2"/>
        <v>-4.4927999999999999</v>
      </c>
      <c r="E42">
        <f t="shared" si="3"/>
        <v>45.926399999999994</v>
      </c>
      <c r="F42">
        <f t="shared" si="4"/>
        <v>52.416000000000018</v>
      </c>
      <c r="G42">
        <f t="shared" si="5"/>
        <v>94.144000000000005</v>
      </c>
    </row>
    <row r="43" spans="1:7" ht="15.75" thickBot="1" x14ac:dyDescent="0.3">
      <c r="A43" s="3">
        <v>3.7</v>
      </c>
      <c r="B43">
        <f t="shared" si="0"/>
        <v>-0.16064999999999999</v>
      </c>
      <c r="C43">
        <f t="shared" si="1"/>
        <v>0.44029999999999986</v>
      </c>
      <c r="D43">
        <f t="shared" si="2"/>
        <v>-4.1957999999999993</v>
      </c>
      <c r="E43">
        <f t="shared" si="3"/>
        <v>39.060899999999982</v>
      </c>
      <c r="F43">
        <f t="shared" si="4"/>
        <v>69.347250000000031</v>
      </c>
      <c r="G43">
        <f t="shared" si="5"/>
        <v>104.49200000000002</v>
      </c>
    </row>
    <row r="44" spans="1:7" ht="15.75" thickBot="1" x14ac:dyDescent="0.3">
      <c r="A44" s="3">
        <v>3.8</v>
      </c>
      <c r="B44">
        <f t="shared" si="0"/>
        <v>-0.13440000000000005</v>
      </c>
      <c r="C44">
        <f t="shared" si="1"/>
        <v>0.36480000000000018</v>
      </c>
      <c r="D44">
        <f t="shared" si="2"/>
        <v>-3.4048000000000016</v>
      </c>
      <c r="E44">
        <f t="shared" si="3"/>
        <v>29.366400000000024</v>
      </c>
      <c r="F44">
        <f t="shared" si="4"/>
        <v>89.375999999999976</v>
      </c>
      <c r="G44">
        <f t="shared" si="5"/>
        <v>115.568</v>
      </c>
    </row>
    <row r="45" spans="1:7" ht="15.75" thickBot="1" x14ac:dyDescent="0.3">
      <c r="A45" s="3">
        <v>3.9</v>
      </c>
      <c r="B45">
        <f t="shared" si="0"/>
        <v>-8.2650000000000071E-2</v>
      </c>
      <c r="C45">
        <f t="shared" si="1"/>
        <v>0.22230000000000016</v>
      </c>
      <c r="D45">
        <f t="shared" si="2"/>
        <v>-2.0358000000000014</v>
      </c>
      <c r="E45">
        <f t="shared" si="3"/>
        <v>16.474900000000012</v>
      </c>
      <c r="F45">
        <f t="shared" si="4"/>
        <v>112.81724999999999</v>
      </c>
      <c r="G45">
        <f t="shared" si="5"/>
        <v>127.396</v>
      </c>
    </row>
    <row r="46" spans="1:7" ht="15.75" thickBot="1" x14ac:dyDescent="0.3">
      <c r="A46" s="3">
        <v>4</v>
      </c>
      <c r="B46">
        <f t="shared" si="0"/>
        <v>0</v>
      </c>
      <c r="C46">
        <f t="shared" si="1"/>
        <v>0</v>
      </c>
      <c r="D46">
        <f t="shared" si="2"/>
        <v>0</v>
      </c>
      <c r="E46">
        <f t="shared" si="3"/>
        <v>0</v>
      </c>
      <c r="F46">
        <f t="shared" si="4"/>
        <v>140</v>
      </c>
      <c r="G46">
        <f t="shared" si="5"/>
        <v>140</v>
      </c>
    </row>
    <row r="47" spans="1:7" x14ac:dyDescent="0.25">
      <c r="A47" s="1"/>
    </row>
    <row r="48" spans="1:7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</dc:creator>
  <cp:lastModifiedBy>vladslave</cp:lastModifiedBy>
  <dcterms:created xsi:type="dcterms:W3CDTF">2015-06-05T18:19:34Z</dcterms:created>
  <dcterms:modified xsi:type="dcterms:W3CDTF">2025-11-08T01:27:24Z</dcterms:modified>
</cp:coreProperties>
</file>